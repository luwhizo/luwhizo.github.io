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drawings/drawing6.xml" ContentType="application/vnd.openxmlformats-officedocument.drawing+xml"/>
  <Override PartName="/xl/ctrlProps/ctrlProp5.xml" ContentType="application/vnd.ms-excel.controlproperties+xml"/>
  <Override PartName="/xl/drawings/drawing7.xml" ContentType="application/vnd.openxmlformats-officedocument.drawing+xml"/>
  <Override PartName="/xl/ctrlProps/ctrlProp6.xml" ContentType="application/vnd.ms-excel.controlproperties+xml"/>
  <Override PartName="/xl/drawings/drawing8.xml" ContentType="application/vnd.openxmlformats-officedocument.drawing+xml"/>
  <Override PartName="/xl/ctrlProps/ctrlProp7.xml" ContentType="application/vnd.ms-excel.controlproperties+xml"/>
  <Override PartName="/xl/drawings/drawing9.xml" ContentType="application/vnd.openxmlformats-officedocument.drawing+xml"/>
  <Override PartName="/xl/ctrlProps/ctrlProp8.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827"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Luis\OneDrive\Escritorio\"/>
    </mc:Choice>
  </mc:AlternateContent>
  <xr:revisionPtr revIDLastSave="0" documentId="13_ncr:1_{5142D502-9080-4CF7-A3CF-A2C44B3CAA74}" xr6:coauthVersionLast="47" xr6:coauthVersionMax="47" xr10:uidLastSave="{00000000-0000-0000-0000-000000000000}"/>
  <bookViews>
    <workbookView xWindow="-108" yWindow="-108" windowWidth="23256" windowHeight="12456" xr2:uid="{00000000-000D-0000-FFFF-FFFF00000000}"/>
  </bookViews>
  <sheets>
    <sheet name="CARÁTULA" sheetId="1" r:id="rId1"/>
    <sheet name="C. FILIACION" sheetId="2" r:id="rId2"/>
    <sheet name="ASIS 1 TRIM" sheetId="3" r:id="rId3"/>
    <sheet name="ASIS 2 TRIM" sheetId="4" r:id="rId4"/>
    <sheet name="ASIS 3 TRIM" sheetId="9" r:id="rId5"/>
    <sheet name="VAL 1 TRIM " sheetId="15" r:id="rId6"/>
    <sheet name="VAL 2 TRIM" sheetId="20" r:id="rId7"/>
    <sheet name="VAL 3 TRIM" sheetId="21" r:id="rId8"/>
    <sheet name="CENTRAL 1" sheetId="10" r:id="rId9"/>
    <sheet name="CENTRAL 2" sheetId="11" r:id="rId10"/>
    <sheet name="DIMEN 1" sheetId="17" r:id="rId11"/>
    <sheet name="DIMEN 2" sheetId="18" r:id="rId12"/>
    <sheet name="DIMEN 3" sheetId="19" r:id="rId13"/>
    <sheet name="AVANCE" sheetId="13" r:id="rId14"/>
    <sheet name="EST_DEST" sheetId="14" r:id="rId15"/>
    <sheet name="ESTADIST" sheetId="12" r:id="rId16"/>
  </sheets>
  <definedNames>
    <definedName name="_xlnm._FilterDatabase" localSheetId="14" hidden="1">EST_DEST!$E$16:$H$60</definedName>
    <definedName name="_xlnm.Print_Area" localSheetId="2">'ASIS 1 TRIM'!$A$1:$BE$43</definedName>
    <definedName name="_xlnm.Print_Area" localSheetId="3">'ASIS 2 TRIM'!$A$1:$BE$43</definedName>
    <definedName name="_xlnm.Print_Area" localSheetId="4">'ASIS 3 TRIM'!$A$1:$BE$43</definedName>
    <definedName name="_xlnm.Print_Area" localSheetId="8">'CENTRAL 1'!$A$1:$X$44</definedName>
    <definedName name="_xlnm.Print_Area" localSheetId="9">'CENTRAL 2'!$A$1:$H$44</definedName>
    <definedName name="_xlnm.Print_Area" localSheetId="5">'VAL 1 TRIM '!$A$1:$AR$44</definedName>
    <definedName name="_xlnm.Print_Area" localSheetId="6">'VAL 2 TRIM'!$A$1:$AR$44</definedName>
    <definedName name="_xlnm.Print_Area" localSheetId="7">'VAL 3 TRIM'!$A$1:$AR$44</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AT4" i="3" l="1"/>
  <c r="AT3" i="3"/>
  <c r="AI4" i="21"/>
  <c r="AI3" i="21"/>
  <c r="AI4" i="20"/>
  <c r="AI3" i="20"/>
  <c r="G17" i="14"/>
  <c r="G18" i="14"/>
  <c r="G19" i="14"/>
  <c r="G20" i="14"/>
  <c r="G21" i="14"/>
  <c r="G22" i="14"/>
  <c r="G23" i="14"/>
  <c r="G24" i="14"/>
  <c r="G25" i="14"/>
  <c r="G26" i="14"/>
  <c r="G27" i="14"/>
  <c r="G28" i="14"/>
  <c r="G29" i="14"/>
  <c r="G30" i="14"/>
  <c r="G31" i="14"/>
  <c r="G32" i="14"/>
  <c r="G33" i="14"/>
  <c r="G34" i="14"/>
  <c r="G35" i="14"/>
  <c r="G36" i="14"/>
  <c r="G37" i="14"/>
  <c r="G38" i="14"/>
  <c r="G39" i="14"/>
  <c r="G40" i="14"/>
  <c r="G41" i="14"/>
  <c r="G42" i="14"/>
  <c r="G43" i="14"/>
  <c r="G44" i="14"/>
  <c r="G45" i="14"/>
  <c r="G46" i="14"/>
  <c r="G47" i="14"/>
  <c r="G48" i="14"/>
  <c r="G49" i="14"/>
  <c r="G50" i="14"/>
  <c r="G51" i="14"/>
  <c r="G52" i="14"/>
  <c r="S12" i="10"/>
  <c r="S15" i="10"/>
  <c r="S16" i="10"/>
  <c r="S43" i="10"/>
  <c r="S44" i="10"/>
  <c r="R9" i="10"/>
  <c r="R10" i="10"/>
  <c r="R11" i="10"/>
  <c r="R12" i="10"/>
  <c r="R13" i="10"/>
  <c r="R14" i="10"/>
  <c r="R15" i="10"/>
  <c r="R16" i="10"/>
  <c r="R17" i="10"/>
  <c r="R18" i="10"/>
  <c r="R19" i="10"/>
  <c r="R20" i="10"/>
  <c r="R21" i="10"/>
  <c r="R22" i="10"/>
  <c r="R23" i="10"/>
  <c r="R24" i="10"/>
  <c r="R25" i="10"/>
  <c r="R26" i="10"/>
  <c r="R27" i="10"/>
  <c r="R28" i="10"/>
  <c r="R29" i="10"/>
  <c r="R30" i="10"/>
  <c r="R31" i="10"/>
  <c r="R32" i="10"/>
  <c r="R33" i="10"/>
  <c r="R34" i="10"/>
  <c r="R35" i="10"/>
  <c r="R36" i="10"/>
  <c r="R37" i="10"/>
  <c r="R38" i="10"/>
  <c r="R39" i="10"/>
  <c r="R40" i="10"/>
  <c r="R41" i="10"/>
  <c r="R42" i="10"/>
  <c r="R43" i="10"/>
  <c r="R44" i="10"/>
  <c r="O9" i="10"/>
  <c r="O10" i="10"/>
  <c r="O11" i="10"/>
  <c r="O12" i="10"/>
  <c r="O13" i="10"/>
  <c r="O14" i="10"/>
  <c r="O15" i="10"/>
  <c r="O16" i="10"/>
  <c r="O17" i="10"/>
  <c r="O18" i="10"/>
  <c r="O19" i="10"/>
  <c r="O20" i="10"/>
  <c r="O21" i="10"/>
  <c r="O22" i="10"/>
  <c r="O23" i="10"/>
  <c r="O24" i="10"/>
  <c r="O25" i="10"/>
  <c r="O26" i="10"/>
  <c r="O27" i="10"/>
  <c r="O28" i="10"/>
  <c r="O29" i="10"/>
  <c r="O30" i="10"/>
  <c r="O31" i="10"/>
  <c r="O32" i="10"/>
  <c r="O33" i="10"/>
  <c r="O34" i="10"/>
  <c r="O35" i="10"/>
  <c r="O36" i="10"/>
  <c r="O37" i="10"/>
  <c r="O38" i="10"/>
  <c r="O39" i="10"/>
  <c r="O40" i="10"/>
  <c r="O41" i="10"/>
  <c r="O42" i="10"/>
  <c r="O43" i="10"/>
  <c r="O44"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F28" i="10"/>
  <c r="E17" i="10"/>
  <c r="E25" i="10"/>
  <c r="C9" i="10"/>
  <c r="C10" i="10"/>
  <c r="C11" i="10"/>
  <c r="C12" i="10"/>
  <c r="C13" i="10"/>
  <c r="C14" i="10"/>
  <c r="C15" i="10"/>
  <c r="C16" i="10"/>
  <c r="C17" i="10"/>
  <c r="C18" i="10"/>
  <c r="C19" i="10"/>
  <c r="C20" i="10"/>
  <c r="C21" i="10"/>
  <c r="C22" i="10"/>
  <c r="C23" i="10"/>
  <c r="C24" i="10"/>
  <c r="C25" i="10"/>
  <c r="C26" i="10"/>
  <c r="C27" i="10"/>
  <c r="C28" i="10"/>
  <c r="C29" i="10"/>
  <c r="C30" i="10"/>
  <c r="C31" i="10"/>
  <c r="C32" i="10"/>
  <c r="C33" i="10"/>
  <c r="C34" i="10"/>
  <c r="C35" i="10"/>
  <c r="C36" i="10"/>
  <c r="C37" i="10"/>
  <c r="C38" i="10"/>
  <c r="C39" i="10"/>
  <c r="C40" i="10"/>
  <c r="C41" i="10"/>
  <c r="C42" i="10"/>
  <c r="C43" i="10"/>
  <c r="C44" i="10"/>
  <c r="AE44" i="21"/>
  <c r="AB44" i="21"/>
  <c r="Q44" i="10" s="1"/>
  <c r="O44" i="21"/>
  <c r="B44" i="21"/>
  <c r="AE43" i="21"/>
  <c r="AB43" i="21"/>
  <c r="Q43" i="10" s="1"/>
  <c r="O43" i="21"/>
  <c r="B43" i="21"/>
  <c r="AE42" i="21"/>
  <c r="S42" i="10" s="1"/>
  <c r="AB42" i="21"/>
  <c r="Q42" i="10" s="1"/>
  <c r="O42" i="21"/>
  <c r="B42" i="21"/>
  <c r="AE41" i="21"/>
  <c r="S41" i="10" s="1"/>
  <c r="AB41" i="21"/>
  <c r="Q41" i="10" s="1"/>
  <c r="O41" i="21"/>
  <c r="B41" i="21"/>
  <c r="AE40" i="21"/>
  <c r="S40" i="10" s="1"/>
  <c r="AB40" i="21"/>
  <c r="Q40" i="10" s="1"/>
  <c r="O40" i="21"/>
  <c r="B40" i="21"/>
  <c r="AE39" i="21"/>
  <c r="S39" i="10" s="1"/>
  <c r="AB39" i="21"/>
  <c r="Q39" i="10" s="1"/>
  <c r="O39" i="21"/>
  <c r="B39" i="21"/>
  <c r="AE38" i="21"/>
  <c r="S38" i="10" s="1"/>
  <c r="AB38" i="21"/>
  <c r="Q38" i="10" s="1"/>
  <c r="O38" i="21"/>
  <c r="B38" i="21"/>
  <c r="AE37" i="21"/>
  <c r="S37" i="10" s="1"/>
  <c r="AB37" i="21"/>
  <c r="Q37" i="10" s="1"/>
  <c r="O37" i="21"/>
  <c r="B37" i="21"/>
  <c r="AE36" i="21"/>
  <c r="S36" i="10" s="1"/>
  <c r="AB36" i="21"/>
  <c r="Q36" i="10" s="1"/>
  <c r="O36" i="21"/>
  <c r="B36" i="21"/>
  <c r="AE35" i="21"/>
  <c r="S35" i="10" s="1"/>
  <c r="AB35" i="21"/>
  <c r="Q35" i="10" s="1"/>
  <c r="O35" i="21"/>
  <c r="B35" i="21"/>
  <c r="AE34" i="21"/>
  <c r="S34" i="10" s="1"/>
  <c r="AB34" i="21"/>
  <c r="Q34" i="10" s="1"/>
  <c r="O34" i="21"/>
  <c r="B34" i="21"/>
  <c r="AE33" i="21"/>
  <c r="S33" i="10" s="1"/>
  <c r="AB33" i="21"/>
  <c r="Q33" i="10" s="1"/>
  <c r="O33" i="21"/>
  <c r="B33" i="21"/>
  <c r="AE32" i="21"/>
  <c r="S32" i="10" s="1"/>
  <c r="AB32" i="21"/>
  <c r="Q32" i="10" s="1"/>
  <c r="O32" i="21"/>
  <c r="P32" i="10" s="1"/>
  <c r="B32" i="21"/>
  <c r="AE31" i="21"/>
  <c r="S31" i="10" s="1"/>
  <c r="AB31" i="21"/>
  <c r="Q31" i="10" s="1"/>
  <c r="O31" i="21"/>
  <c r="B31" i="21"/>
  <c r="AE30" i="21"/>
  <c r="S30" i="10" s="1"/>
  <c r="AB30" i="21"/>
  <c r="Q30" i="10" s="1"/>
  <c r="O30" i="21"/>
  <c r="B30" i="21"/>
  <c r="AE29" i="21"/>
  <c r="S29" i="10" s="1"/>
  <c r="AB29" i="21"/>
  <c r="Q29" i="10" s="1"/>
  <c r="O29" i="21"/>
  <c r="B29" i="21"/>
  <c r="AE28" i="21"/>
  <c r="S28" i="10" s="1"/>
  <c r="AB28" i="21"/>
  <c r="Q28" i="10" s="1"/>
  <c r="O28" i="21"/>
  <c r="B28" i="21"/>
  <c r="AE27" i="21"/>
  <c r="S27" i="10" s="1"/>
  <c r="AB27" i="21"/>
  <c r="Q27" i="10" s="1"/>
  <c r="O27" i="21"/>
  <c r="B27" i="21"/>
  <c r="AE26" i="21"/>
  <c r="S26" i="10" s="1"/>
  <c r="AB26" i="21"/>
  <c r="Q26" i="10" s="1"/>
  <c r="O26" i="21"/>
  <c r="B26" i="21"/>
  <c r="AE25" i="21"/>
  <c r="S25" i="10" s="1"/>
  <c r="AB25" i="21"/>
  <c r="Q25" i="10" s="1"/>
  <c r="O25" i="21"/>
  <c r="B25" i="21"/>
  <c r="AE24" i="21"/>
  <c r="S24" i="10" s="1"/>
  <c r="AB24" i="21"/>
  <c r="Q24" i="10" s="1"/>
  <c r="O24" i="21"/>
  <c r="B24" i="21"/>
  <c r="AE23" i="21"/>
  <c r="S23" i="10" s="1"/>
  <c r="AB23" i="21"/>
  <c r="Q23" i="10" s="1"/>
  <c r="O23" i="21"/>
  <c r="B23" i="21"/>
  <c r="AE22" i="21"/>
  <c r="S22" i="10" s="1"/>
  <c r="AB22" i="21"/>
  <c r="Q22" i="10" s="1"/>
  <c r="O22" i="21"/>
  <c r="B22" i="21"/>
  <c r="AE21" i="21"/>
  <c r="S21" i="10" s="1"/>
  <c r="AB21" i="21"/>
  <c r="Q21" i="10" s="1"/>
  <c r="O21" i="21"/>
  <c r="B21" i="21"/>
  <c r="AE20" i="21"/>
  <c r="S20" i="10" s="1"/>
  <c r="AB20" i="21"/>
  <c r="Q20" i="10" s="1"/>
  <c r="O20" i="21"/>
  <c r="B20" i="21"/>
  <c r="AE19" i="21"/>
  <c r="S19" i="10" s="1"/>
  <c r="AB19" i="21"/>
  <c r="Q19" i="10" s="1"/>
  <c r="O19" i="21"/>
  <c r="B19" i="21"/>
  <c r="AE18" i="21"/>
  <c r="S18" i="10" s="1"/>
  <c r="AB18" i="21"/>
  <c r="Q18" i="10" s="1"/>
  <c r="O18" i="21"/>
  <c r="B18" i="21"/>
  <c r="AE17" i="21"/>
  <c r="S17" i="10" s="1"/>
  <c r="AB17" i="21"/>
  <c r="Q17" i="10" s="1"/>
  <c r="O17" i="21"/>
  <c r="B17" i="21"/>
  <c r="AE16" i="21"/>
  <c r="AB16" i="21"/>
  <c r="Q16" i="10" s="1"/>
  <c r="O16" i="21"/>
  <c r="P16" i="10" s="1"/>
  <c r="B16" i="21"/>
  <c r="AE15" i="21"/>
  <c r="AB15" i="21"/>
  <c r="Q15" i="10" s="1"/>
  <c r="O15" i="21"/>
  <c r="B15" i="21"/>
  <c r="AE14" i="21"/>
  <c r="S14" i="10" s="1"/>
  <c r="AB14" i="21"/>
  <c r="Q14" i="10" s="1"/>
  <c r="O14" i="21"/>
  <c r="B14" i="21"/>
  <c r="AE13" i="21"/>
  <c r="S13" i="10" s="1"/>
  <c r="AB13" i="21"/>
  <c r="Q13" i="10" s="1"/>
  <c r="O13" i="21"/>
  <c r="B13" i="21"/>
  <c r="AE12" i="21"/>
  <c r="AB12" i="21"/>
  <c r="Q12" i="10" s="1"/>
  <c r="O12" i="21"/>
  <c r="B12" i="21"/>
  <c r="AE11" i="21"/>
  <c r="S11" i="10" s="1"/>
  <c r="AB11" i="21"/>
  <c r="Q11" i="10" s="1"/>
  <c r="O11" i="21"/>
  <c r="B11" i="21"/>
  <c r="AE10" i="21"/>
  <c r="S10" i="10" s="1"/>
  <c r="AB10" i="21"/>
  <c r="Q10" i="10" s="1"/>
  <c r="O10" i="21"/>
  <c r="B10" i="21"/>
  <c r="AE9" i="21"/>
  <c r="S9" i="10" s="1"/>
  <c r="AB9" i="21"/>
  <c r="Q9" i="10" s="1"/>
  <c r="O9" i="21"/>
  <c r="AG9" i="21" s="1"/>
  <c r="E9" i="11" s="1"/>
  <c r="B9" i="21"/>
  <c r="AI5" i="21"/>
  <c r="AN4" i="21" s="1"/>
  <c r="S5" i="21"/>
  <c r="C5" i="21"/>
  <c r="S4" i="21"/>
  <c r="C4" i="21"/>
  <c r="S3" i="21"/>
  <c r="C3" i="21"/>
  <c r="AE44" i="20"/>
  <c r="M44" i="10" s="1"/>
  <c r="AB44" i="20"/>
  <c r="K44" i="10" s="1"/>
  <c r="O44" i="20"/>
  <c r="J44" i="10" s="1"/>
  <c r="B44" i="20"/>
  <c r="AE43" i="20"/>
  <c r="M43" i="10" s="1"/>
  <c r="AB43" i="20"/>
  <c r="K43" i="10" s="1"/>
  <c r="O43" i="20"/>
  <c r="B43" i="20"/>
  <c r="AE42" i="20"/>
  <c r="M42" i="10" s="1"/>
  <c r="AB42" i="20"/>
  <c r="K42" i="10" s="1"/>
  <c r="O42" i="20"/>
  <c r="J42" i="10" s="1"/>
  <c r="B42" i="20"/>
  <c r="AE41" i="20"/>
  <c r="M41" i="10" s="1"/>
  <c r="AB41" i="20"/>
  <c r="K41" i="10" s="1"/>
  <c r="O41" i="20"/>
  <c r="J41" i="10" s="1"/>
  <c r="B41" i="20"/>
  <c r="AE40" i="20"/>
  <c r="M40" i="10" s="1"/>
  <c r="AB40" i="20"/>
  <c r="K40" i="10" s="1"/>
  <c r="O40" i="20"/>
  <c r="J40" i="10" s="1"/>
  <c r="B40" i="20"/>
  <c r="AE39" i="20"/>
  <c r="M39" i="10" s="1"/>
  <c r="AB39" i="20"/>
  <c r="K39" i="10" s="1"/>
  <c r="O39" i="20"/>
  <c r="B39" i="20"/>
  <c r="AE38" i="20"/>
  <c r="M38" i="10" s="1"/>
  <c r="AB38" i="20"/>
  <c r="K38" i="10" s="1"/>
  <c r="O38" i="20"/>
  <c r="J38" i="10" s="1"/>
  <c r="B38" i="20"/>
  <c r="AE37" i="20"/>
  <c r="M37" i="10" s="1"/>
  <c r="AB37" i="20"/>
  <c r="K37" i="10" s="1"/>
  <c r="O37" i="20"/>
  <c r="J37" i="10" s="1"/>
  <c r="B37" i="20"/>
  <c r="AE36" i="20"/>
  <c r="M36" i="10" s="1"/>
  <c r="AB36" i="20"/>
  <c r="K36" i="10" s="1"/>
  <c r="O36" i="20"/>
  <c r="J36" i="10" s="1"/>
  <c r="B36" i="20"/>
  <c r="AE35" i="20"/>
  <c r="M35" i="10" s="1"/>
  <c r="AB35" i="20"/>
  <c r="K35" i="10" s="1"/>
  <c r="O35" i="20"/>
  <c r="B35" i="20"/>
  <c r="AE34" i="20"/>
  <c r="M34" i="10" s="1"/>
  <c r="AB34" i="20"/>
  <c r="K34" i="10" s="1"/>
  <c r="O34" i="20"/>
  <c r="J34" i="10" s="1"/>
  <c r="B34" i="20"/>
  <c r="AE33" i="20"/>
  <c r="M33" i="10" s="1"/>
  <c r="AB33" i="20"/>
  <c r="K33" i="10" s="1"/>
  <c r="O33" i="20"/>
  <c r="J33" i="10" s="1"/>
  <c r="B33" i="20"/>
  <c r="AE32" i="20"/>
  <c r="M32" i="10" s="1"/>
  <c r="AB32" i="20"/>
  <c r="K32" i="10" s="1"/>
  <c r="O32" i="20"/>
  <c r="J32" i="10" s="1"/>
  <c r="B32" i="20"/>
  <c r="AE31" i="20"/>
  <c r="M31" i="10" s="1"/>
  <c r="AB31" i="20"/>
  <c r="K31" i="10" s="1"/>
  <c r="O31" i="20"/>
  <c r="B31" i="20"/>
  <c r="AE30" i="20"/>
  <c r="M30" i="10" s="1"/>
  <c r="AB30" i="20"/>
  <c r="K30" i="10" s="1"/>
  <c r="O30" i="20"/>
  <c r="J30" i="10" s="1"/>
  <c r="B30" i="20"/>
  <c r="AE29" i="20"/>
  <c r="M29" i="10" s="1"/>
  <c r="AB29" i="20"/>
  <c r="K29" i="10" s="1"/>
  <c r="O29" i="20"/>
  <c r="J29" i="10" s="1"/>
  <c r="B29" i="20"/>
  <c r="AE28" i="20"/>
  <c r="M28" i="10" s="1"/>
  <c r="AB28" i="20"/>
  <c r="K28" i="10" s="1"/>
  <c r="O28" i="20"/>
  <c r="J28" i="10" s="1"/>
  <c r="B28" i="20"/>
  <c r="AE27" i="20"/>
  <c r="M27" i="10" s="1"/>
  <c r="AB27" i="20"/>
  <c r="K27" i="10" s="1"/>
  <c r="O27" i="20"/>
  <c r="B27" i="20"/>
  <c r="AE26" i="20"/>
  <c r="M26" i="10" s="1"/>
  <c r="AB26" i="20"/>
  <c r="K26" i="10" s="1"/>
  <c r="O26" i="20"/>
  <c r="J26" i="10" s="1"/>
  <c r="B26" i="20"/>
  <c r="AE25" i="20"/>
  <c r="M25" i="10" s="1"/>
  <c r="AB25" i="20"/>
  <c r="K25" i="10" s="1"/>
  <c r="O25" i="20"/>
  <c r="J25" i="10" s="1"/>
  <c r="B25" i="20"/>
  <c r="AE24" i="20"/>
  <c r="M24" i="10" s="1"/>
  <c r="AB24" i="20"/>
  <c r="K24" i="10" s="1"/>
  <c r="O24" i="20"/>
  <c r="J24" i="10" s="1"/>
  <c r="B24" i="20"/>
  <c r="AE23" i="20"/>
  <c r="M23" i="10" s="1"/>
  <c r="AB23" i="20"/>
  <c r="K23" i="10" s="1"/>
  <c r="O23" i="20"/>
  <c r="B23" i="20"/>
  <c r="AE22" i="20"/>
  <c r="M22" i="10" s="1"/>
  <c r="AB22" i="20"/>
  <c r="K22" i="10" s="1"/>
  <c r="O22" i="20"/>
  <c r="J22" i="10" s="1"/>
  <c r="B22" i="20"/>
  <c r="AE21" i="20"/>
  <c r="M21" i="10" s="1"/>
  <c r="AB21" i="20"/>
  <c r="K21" i="10" s="1"/>
  <c r="O21" i="20"/>
  <c r="J21" i="10" s="1"/>
  <c r="B21" i="20"/>
  <c r="AE20" i="20"/>
  <c r="M20" i="10" s="1"/>
  <c r="AB20" i="20"/>
  <c r="K20" i="10" s="1"/>
  <c r="O20" i="20"/>
  <c r="B20" i="20"/>
  <c r="AE19" i="20"/>
  <c r="M19" i="10" s="1"/>
  <c r="AB19" i="20"/>
  <c r="K19" i="10" s="1"/>
  <c r="O19" i="20"/>
  <c r="B19" i="20"/>
  <c r="AE18" i="20"/>
  <c r="M18" i="10" s="1"/>
  <c r="AB18" i="20"/>
  <c r="K18" i="10" s="1"/>
  <c r="O18" i="20"/>
  <c r="J18" i="10" s="1"/>
  <c r="B18" i="20"/>
  <c r="AE17" i="20"/>
  <c r="M17" i="10" s="1"/>
  <c r="AB17" i="20"/>
  <c r="K17" i="10" s="1"/>
  <c r="O17" i="20"/>
  <c r="B17" i="20"/>
  <c r="AE16" i="20"/>
  <c r="M16" i="10" s="1"/>
  <c r="AB16" i="20"/>
  <c r="K16" i="10" s="1"/>
  <c r="O16" i="20"/>
  <c r="B16" i="20"/>
  <c r="AE15" i="20"/>
  <c r="M15" i="10" s="1"/>
  <c r="AB15" i="20"/>
  <c r="K15" i="10" s="1"/>
  <c r="O15" i="20"/>
  <c r="B15" i="20"/>
  <c r="AE14" i="20"/>
  <c r="M14" i="10" s="1"/>
  <c r="AB14" i="20"/>
  <c r="K14" i="10" s="1"/>
  <c r="O14" i="20"/>
  <c r="J14" i="10" s="1"/>
  <c r="B14" i="20"/>
  <c r="AE13" i="20"/>
  <c r="M13" i="10" s="1"/>
  <c r="AB13" i="20"/>
  <c r="K13" i="10" s="1"/>
  <c r="O13" i="20"/>
  <c r="B13" i="20"/>
  <c r="AE12" i="20"/>
  <c r="M12" i="10" s="1"/>
  <c r="AB12" i="20"/>
  <c r="K12" i="10" s="1"/>
  <c r="O12" i="20"/>
  <c r="B12" i="20"/>
  <c r="AE11" i="20"/>
  <c r="M11" i="10" s="1"/>
  <c r="AB11" i="20"/>
  <c r="K11" i="10" s="1"/>
  <c r="O11" i="20"/>
  <c r="B11" i="20"/>
  <c r="AE10" i="20"/>
  <c r="M10" i="10" s="1"/>
  <c r="AB10" i="20"/>
  <c r="K10" i="10" s="1"/>
  <c r="O10" i="20"/>
  <c r="J10" i="10" s="1"/>
  <c r="B10" i="20"/>
  <c r="AE9" i="20"/>
  <c r="M9" i="10" s="1"/>
  <c r="AB9" i="20"/>
  <c r="K9" i="10" s="1"/>
  <c r="O9" i="20"/>
  <c r="B9" i="20"/>
  <c r="AI5" i="20"/>
  <c r="AN4" i="20" s="1"/>
  <c r="S5" i="20"/>
  <c r="C5" i="20"/>
  <c r="S4" i="20"/>
  <c r="C4" i="20"/>
  <c r="S3" i="20"/>
  <c r="C3" i="20"/>
  <c r="AE10" i="15"/>
  <c r="F10" i="10" s="1"/>
  <c r="AE11" i="15"/>
  <c r="F11" i="10" s="1"/>
  <c r="AE12" i="15"/>
  <c r="F12" i="10" s="1"/>
  <c r="AE13" i="15"/>
  <c r="F13" i="10" s="1"/>
  <c r="AE14" i="15"/>
  <c r="F14" i="10" s="1"/>
  <c r="AE15" i="15"/>
  <c r="F15" i="10" s="1"/>
  <c r="AE16" i="15"/>
  <c r="F16" i="10" s="1"/>
  <c r="AE17" i="15"/>
  <c r="F17" i="10" s="1"/>
  <c r="AE18" i="15"/>
  <c r="F18" i="10" s="1"/>
  <c r="AE19" i="15"/>
  <c r="F19" i="10" s="1"/>
  <c r="AE20" i="15"/>
  <c r="F20" i="10" s="1"/>
  <c r="AE21" i="15"/>
  <c r="F21" i="10" s="1"/>
  <c r="AE22" i="15"/>
  <c r="F22" i="10" s="1"/>
  <c r="AE23" i="15"/>
  <c r="F23" i="10" s="1"/>
  <c r="AE24" i="15"/>
  <c r="F24" i="10" s="1"/>
  <c r="AE25" i="15"/>
  <c r="F25" i="10" s="1"/>
  <c r="AE26" i="15"/>
  <c r="F26" i="10" s="1"/>
  <c r="AE27" i="15"/>
  <c r="F27" i="10" s="1"/>
  <c r="AE28" i="15"/>
  <c r="AE29" i="15"/>
  <c r="F29" i="10" s="1"/>
  <c r="AE30" i="15"/>
  <c r="F30" i="10" s="1"/>
  <c r="AE31" i="15"/>
  <c r="F31" i="10" s="1"/>
  <c r="AE32" i="15"/>
  <c r="F32" i="10" s="1"/>
  <c r="AE33" i="15"/>
  <c r="F33" i="10" s="1"/>
  <c r="AE34" i="15"/>
  <c r="F34" i="10" s="1"/>
  <c r="AE35" i="15"/>
  <c r="F35" i="10" s="1"/>
  <c r="AE36" i="15"/>
  <c r="F36" i="10" s="1"/>
  <c r="AE37" i="15"/>
  <c r="F37" i="10" s="1"/>
  <c r="AE38" i="15"/>
  <c r="F38" i="10" s="1"/>
  <c r="AE39" i="15"/>
  <c r="F39" i="10" s="1"/>
  <c r="AE40" i="15"/>
  <c r="F40" i="10" s="1"/>
  <c r="AE41" i="15"/>
  <c r="F41" i="10" s="1"/>
  <c r="AE42" i="15"/>
  <c r="F42" i="10" s="1"/>
  <c r="AE43" i="15"/>
  <c r="F43" i="10" s="1"/>
  <c r="AE44" i="15"/>
  <c r="F44" i="10" s="1"/>
  <c r="AE9" i="15"/>
  <c r="F9" i="10" s="1"/>
  <c r="AB9" i="15"/>
  <c r="E9" i="10" s="1"/>
  <c r="AB10" i="15"/>
  <c r="E10" i="10" s="1"/>
  <c r="AB11" i="15"/>
  <c r="E11" i="10" s="1"/>
  <c r="AB12" i="15"/>
  <c r="E12" i="10" s="1"/>
  <c r="AB13" i="15"/>
  <c r="E13" i="10" s="1"/>
  <c r="AB14" i="15"/>
  <c r="E14" i="10" s="1"/>
  <c r="AB15" i="15"/>
  <c r="E15" i="10" s="1"/>
  <c r="AB16" i="15"/>
  <c r="E16" i="10" s="1"/>
  <c r="AB17" i="15"/>
  <c r="AB18" i="15"/>
  <c r="E18" i="10" s="1"/>
  <c r="AB19" i="15"/>
  <c r="E19" i="10" s="1"/>
  <c r="AB20" i="15"/>
  <c r="E20" i="10" s="1"/>
  <c r="AB21" i="15"/>
  <c r="E21" i="10" s="1"/>
  <c r="AB22" i="15"/>
  <c r="E22" i="10" s="1"/>
  <c r="AB23" i="15"/>
  <c r="E23" i="10" s="1"/>
  <c r="AB24" i="15"/>
  <c r="E24" i="10" s="1"/>
  <c r="AB25" i="15"/>
  <c r="AB26" i="15"/>
  <c r="E26" i="10" s="1"/>
  <c r="AB27" i="15"/>
  <c r="E27" i="10" s="1"/>
  <c r="AB28" i="15"/>
  <c r="E28" i="10" s="1"/>
  <c r="AB29" i="15"/>
  <c r="E29" i="10" s="1"/>
  <c r="AB30" i="15"/>
  <c r="E30" i="10" s="1"/>
  <c r="AB31" i="15"/>
  <c r="E31" i="10" s="1"/>
  <c r="AB32" i="15"/>
  <c r="E32" i="10" s="1"/>
  <c r="AB33" i="15"/>
  <c r="E33" i="10" s="1"/>
  <c r="AB34" i="15"/>
  <c r="E34" i="10" s="1"/>
  <c r="AB35" i="15"/>
  <c r="E35" i="10" s="1"/>
  <c r="AB36" i="15"/>
  <c r="E36" i="10" s="1"/>
  <c r="AB37" i="15"/>
  <c r="E37" i="10" s="1"/>
  <c r="AB38" i="15"/>
  <c r="E38" i="10" s="1"/>
  <c r="AB39" i="15"/>
  <c r="E39" i="10" s="1"/>
  <c r="AB40" i="15"/>
  <c r="E40" i="10" s="1"/>
  <c r="AB41" i="15"/>
  <c r="E41" i="10" s="1"/>
  <c r="AB42" i="15"/>
  <c r="E42" i="10" s="1"/>
  <c r="AB43" i="15"/>
  <c r="E43" i="10" s="1"/>
  <c r="AB44" i="15"/>
  <c r="E44" i="10" s="1"/>
  <c r="T9" i="10" l="1"/>
  <c r="AG9" i="20"/>
  <c r="P9" i="10"/>
  <c r="J9" i="10"/>
  <c r="AG12" i="21"/>
  <c r="E12" i="11" s="1"/>
  <c r="AG16" i="21"/>
  <c r="E16" i="11" s="1"/>
  <c r="AG20" i="21"/>
  <c r="E20" i="11" s="1"/>
  <c r="AG24" i="21"/>
  <c r="AG28" i="21"/>
  <c r="E28" i="11" s="1"/>
  <c r="AG32" i="21"/>
  <c r="E32" i="11" s="1"/>
  <c r="AG36" i="21"/>
  <c r="E36" i="11" s="1"/>
  <c r="AG40" i="21"/>
  <c r="AH40" i="21" s="1"/>
  <c r="AG44" i="21"/>
  <c r="E44" i="11" s="1"/>
  <c r="AG10" i="21"/>
  <c r="AH10" i="21" s="1"/>
  <c r="P10" i="10"/>
  <c r="AG11" i="21"/>
  <c r="AH11" i="21" s="1"/>
  <c r="P11" i="10"/>
  <c r="AG13" i="21"/>
  <c r="AH13" i="21" s="1"/>
  <c r="P13" i="10"/>
  <c r="AG14" i="21"/>
  <c r="AH14" i="21" s="1"/>
  <c r="P14" i="10"/>
  <c r="AG15" i="21"/>
  <c r="P15" i="10"/>
  <c r="AG17" i="21"/>
  <c r="AH17" i="21" s="1"/>
  <c r="P17" i="10"/>
  <c r="AG18" i="21"/>
  <c r="P18" i="10"/>
  <c r="AG19" i="21"/>
  <c r="AF19" i="21" s="1"/>
  <c r="P19" i="10"/>
  <c r="AG21" i="21"/>
  <c r="AH21" i="21" s="1"/>
  <c r="P21" i="10"/>
  <c r="AG22" i="21"/>
  <c r="AH22" i="21" s="1"/>
  <c r="P22" i="10"/>
  <c r="AG23" i="21"/>
  <c r="AF23" i="21" s="1"/>
  <c r="P23" i="10"/>
  <c r="AG25" i="21"/>
  <c r="AH25" i="21" s="1"/>
  <c r="P25" i="10"/>
  <c r="AG26" i="21"/>
  <c r="AH26" i="21" s="1"/>
  <c r="P26" i="10"/>
  <c r="AG27" i="21"/>
  <c r="AF27" i="21" s="1"/>
  <c r="P27" i="10"/>
  <c r="AG29" i="21"/>
  <c r="AF29" i="21" s="1"/>
  <c r="P29" i="10"/>
  <c r="AG30" i="21"/>
  <c r="AH30" i="21" s="1"/>
  <c r="P30" i="10"/>
  <c r="AG31" i="21"/>
  <c r="AH31" i="21" s="1"/>
  <c r="P31" i="10"/>
  <c r="AG33" i="21"/>
  <c r="AH33" i="21" s="1"/>
  <c r="P33" i="10"/>
  <c r="AG34" i="21"/>
  <c r="P34" i="10"/>
  <c r="AG35" i="21"/>
  <c r="AF35" i="21" s="1"/>
  <c r="P35" i="10"/>
  <c r="AG37" i="21"/>
  <c r="AF37" i="21" s="1"/>
  <c r="P37" i="10"/>
  <c r="AG38" i="21"/>
  <c r="AH38" i="21" s="1"/>
  <c r="P38" i="10"/>
  <c r="AG39" i="21"/>
  <c r="AH39" i="21" s="1"/>
  <c r="P39" i="10"/>
  <c r="AG41" i="21"/>
  <c r="AH41" i="21" s="1"/>
  <c r="P41" i="10"/>
  <c r="AG42" i="21"/>
  <c r="AF42" i="21" s="1"/>
  <c r="P42" i="10"/>
  <c r="AG43" i="21"/>
  <c r="AF43" i="21" s="1"/>
  <c r="P43" i="10"/>
  <c r="P44" i="10"/>
  <c r="P28" i="10"/>
  <c r="P12" i="10"/>
  <c r="P40" i="10"/>
  <c r="P24" i="10"/>
  <c r="T16" i="10"/>
  <c r="P36" i="10"/>
  <c r="P20" i="10"/>
  <c r="T44" i="10"/>
  <c r="T28" i="10"/>
  <c r="T12" i="10"/>
  <c r="AG10" i="20"/>
  <c r="AH10" i="20" s="1"/>
  <c r="AG11" i="20"/>
  <c r="AG12" i="20"/>
  <c r="D12" i="11" s="1"/>
  <c r="AG13" i="20"/>
  <c r="D13" i="11" s="1"/>
  <c r="AG14" i="20"/>
  <c r="AF14" i="20" s="1"/>
  <c r="AG15" i="20"/>
  <c r="AH15" i="20" s="1"/>
  <c r="AG16" i="20"/>
  <c r="D16" i="11" s="1"/>
  <c r="AG17" i="20"/>
  <c r="D17" i="11" s="1"/>
  <c r="AG18" i="20"/>
  <c r="AF18" i="20" s="1"/>
  <c r="AG19" i="20"/>
  <c r="AG20" i="20"/>
  <c r="D20" i="11" s="1"/>
  <c r="AG22" i="20"/>
  <c r="AG23" i="20"/>
  <c r="AH23" i="20" s="1"/>
  <c r="AG24" i="20"/>
  <c r="AG25" i="20"/>
  <c r="AG26" i="20"/>
  <c r="AH26" i="20" s="1"/>
  <c r="AG27" i="20"/>
  <c r="AF27" i="20" s="1"/>
  <c r="AG28" i="20"/>
  <c r="AF28" i="20" s="1"/>
  <c r="AG29" i="20"/>
  <c r="AH29" i="20" s="1"/>
  <c r="AG30" i="20"/>
  <c r="AH30" i="20" s="1"/>
  <c r="AG31" i="20"/>
  <c r="AF31" i="20" s="1"/>
  <c r="AG32" i="20"/>
  <c r="AH32" i="20" s="1"/>
  <c r="AG33" i="20"/>
  <c r="AG34" i="20"/>
  <c r="AH34" i="20" s="1"/>
  <c r="AG35" i="20"/>
  <c r="AF35" i="20" s="1"/>
  <c r="AG36" i="20"/>
  <c r="AG37" i="20"/>
  <c r="AH37" i="20" s="1"/>
  <c r="AG38" i="20"/>
  <c r="AG39" i="20"/>
  <c r="AG40" i="20"/>
  <c r="AG41" i="20"/>
  <c r="AG42" i="20"/>
  <c r="AH42" i="20" s="1"/>
  <c r="AG43" i="20"/>
  <c r="AH43" i="20" s="1"/>
  <c r="AG44" i="20"/>
  <c r="AF44" i="20" s="1"/>
  <c r="AG21" i="20"/>
  <c r="J17" i="10"/>
  <c r="J13" i="10"/>
  <c r="J20" i="10"/>
  <c r="J16" i="10"/>
  <c r="J12" i="10"/>
  <c r="J43" i="10"/>
  <c r="J39" i="10"/>
  <c r="J35" i="10"/>
  <c r="J31" i="10"/>
  <c r="J27" i="10"/>
  <c r="J23" i="10"/>
  <c r="J19" i="10"/>
  <c r="J15" i="10"/>
  <c r="J11" i="10"/>
  <c r="AH9" i="21"/>
  <c r="AF9" i="21"/>
  <c r="AF10" i="21"/>
  <c r="AH12" i="21"/>
  <c r="AF12" i="21"/>
  <c r="AF13" i="21"/>
  <c r="AF15" i="21"/>
  <c r="AH15" i="21"/>
  <c r="AF18" i="21"/>
  <c r="AH18" i="21"/>
  <c r="AH23" i="21"/>
  <c r="AF26" i="21"/>
  <c r="AH28" i="21"/>
  <c r="AF28" i="21"/>
  <c r="AH29" i="21"/>
  <c r="AF32" i="21"/>
  <c r="AF34" i="21"/>
  <c r="AH34" i="21"/>
  <c r="AH37" i="21"/>
  <c r="AF39" i="21"/>
  <c r="AH44" i="21"/>
  <c r="AF44" i="21"/>
  <c r="AH22" i="20"/>
  <c r="AF23" i="20"/>
  <c r="AH24" i="20"/>
  <c r="AF24" i="20"/>
  <c r="AH28" i="20"/>
  <c r="AH31" i="20"/>
  <c r="AH35" i="20"/>
  <c r="AH36" i="20"/>
  <c r="AF36" i="20"/>
  <c r="AH38" i="20"/>
  <c r="AF39" i="20"/>
  <c r="AH39" i="20"/>
  <c r="AH40" i="20"/>
  <c r="AF40" i="20"/>
  <c r="AH44" i="20"/>
  <c r="AF9" i="20"/>
  <c r="AH9" i="20"/>
  <c r="AH11" i="20"/>
  <c r="AF11" i="20"/>
  <c r="AH14" i="20"/>
  <c r="AF15" i="20"/>
  <c r="AF16" i="20"/>
  <c r="AF19" i="20"/>
  <c r="AH19" i="20"/>
  <c r="AH20" i="20"/>
  <c r="O10" i="15"/>
  <c r="O11" i="15"/>
  <c r="O12" i="15"/>
  <c r="O13" i="15"/>
  <c r="O14" i="15"/>
  <c r="O15" i="15"/>
  <c r="O16" i="15"/>
  <c r="O17" i="15"/>
  <c r="O18" i="15"/>
  <c r="O19" i="15"/>
  <c r="O20" i="15"/>
  <c r="O21" i="15"/>
  <c r="O22" i="15"/>
  <c r="O23" i="15"/>
  <c r="O24" i="15"/>
  <c r="O25" i="15"/>
  <c r="O26" i="15"/>
  <c r="O27" i="15"/>
  <c r="O28" i="15"/>
  <c r="O29" i="15"/>
  <c r="O30" i="15"/>
  <c r="O31" i="15"/>
  <c r="O32" i="15"/>
  <c r="O33" i="15"/>
  <c r="O34" i="15"/>
  <c r="O35" i="15"/>
  <c r="O36" i="15"/>
  <c r="O37" i="15"/>
  <c r="O38" i="15"/>
  <c r="O39" i="15"/>
  <c r="O40" i="15"/>
  <c r="O41" i="15"/>
  <c r="O42" i="15"/>
  <c r="O43" i="15"/>
  <c r="O44" i="15"/>
  <c r="O9" i="15"/>
  <c r="AF43" i="20" l="1"/>
  <c r="AF31" i="21"/>
  <c r="AF10" i="20"/>
  <c r="AH18" i="20"/>
  <c r="AF21" i="21"/>
  <c r="AH12" i="20"/>
  <c r="AH42" i="21"/>
  <c r="AG9" i="15"/>
  <c r="D9" i="10"/>
  <c r="AF32" i="20"/>
  <c r="AF16" i="21"/>
  <c r="T32" i="10"/>
  <c r="AH27" i="20"/>
  <c r="D9" i="11"/>
  <c r="N9" i="10"/>
  <c r="AF20" i="21"/>
  <c r="AH32" i="21"/>
  <c r="AH20" i="21"/>
  <c r="AH16" i="21"/>
  <c r="E24" i="11"/>
  <c r="T24" i="10"/>
  <c r="AF36" i="21"/>
  <c r="AH24" i="21"/>
  <c r="T20" i="10"/>
  <c r="E40" i="11"/>
  <c r="T40" i="10"/>
  <c r="AF24" i="21"/>
  <c r="AF40" i="21"/>
  <c r="AH36" i="21"/>
  <c r="T36" i="10"/>
  <c r="E43" i="11"/>
  <c r="T43" i="10"/>
  <c r="T41" i="10"/>
  <c r="E41" i="11"/>
  <c r="T38" i="10"/>
  <c r="E38" i="11"/>
  <c r="E35" i="11"/>
  <c r="T35" i="10"/>
  <c r="T33" i="10"/>
  <c r="E33" i="11"/>
  <c r="T30" i="10"/>
  <c r="E30" i="11"/>
  <c r="E27" i="11"/>
  <c r="T27" i="10"/>
  <c r="T25" i="10"/>
  <c r="E25" i="11"/>
  <c r="T22" i="10"/>
  <c r="E22" i="11"/>
  <c r="E19" i="11"/>
  <c r="T19" i="10"/>
  <c r="T17" i="10"/>
  <c r="E17" i="11"/>
  <c r="T14" i="10"/>
  <c r="E14" i="11"/>
  <c r="E11" i="11"/>
  <c r="T11" i="10"/>
  <c r="AF38" i="21"/>
  <c r="AF30" i="21"/>
  <c r="AF22" i="21"/>
  <c r="AO12" i="21" s="1"/>
  <c r="H10" i="19" s="1"/>
  <c r="AF14" i="21"/>
  <c r="AH43" i="21"/>
  <c r="AF41" i="21"/>
  <c r="AH35" i="21"/>
  <c r="AF33" i="21"/>
  <c r="AH27" i="21"/>
  <c r="AF25" i="21"/>
  <c r="AH19" i="21"/>
  <c r="AF17" i="21"/>
  <c r="AF11" i="21"/>
  <c r="T42" i="10"/>
  <c r="E42" i="11"/>
  <c r="E39" i="11"/>
  <c r="T39" i="10"/>
  <c r="T37" i="10"/>
  <c r="E37" i="11"/>
  <c r="T34" i="10"/>
  <c r="E34" i="11"/>
  <c r="E31" i="11"/>
  <c r="T31" i="10"/>
  <c r="T29" i="10"/>
  <c r="E29" i="11"/>
  <c r="T26" i="10"/>
  <c r="E26" i="11"/>
  <c r="E23" i="11"/>
  <c r="T23" i="10"/>
  <c r="T21" i="10"/>
  <c r="E21" i="11"/>
  <c r="T18" i="10"/>
  <c r="E18" i="11"/>
  <c r="E15" i="11"/>
  <c r="T15" i="10"/>
  <c r="T13" i="10"/>
  <c r="E13" i="11"/>
  <c r="T10" i="10"/>
  <c r="E10" i="11"/>
  <c r="AH16" i="20"/>
  <c r="N16" i="10"/>
  <c r="AF20" i="20"/>
  <c r="AF12" i="20"/>
  <c r="N20" i="10"/>
  <c r="N38" i="10"/>
  <c r="D38" i="11"/>
  <c r="D30" i="11"/>
  <c r="N30" i="10"/>
  <c r="AF38" i="20"/>
  <c r="AF30" i="20"/>
  <c r="N13" i="10"/>
  <c r="D41" i="11"/>
  <c r="N41" i="10"/>
  <c r="N33" i="10"/>
  <c r="D33" i="11"/>
  <c r="D25" i="11"/>
  <c r="N25" i="10"/>
  <c r="AH41" i="20"/>
  <c r="AH33" i="20"/>
  <c r="AH25" i="20"/>
  <c r="N17" i="10"/>
  <c r="D44" i="11"/>
  <c r="N44" i="10"/>
  <c r="D40" i="11"/>
  <c r="N40" i="10"/>
  <c r="D36" i="11"/>
  <c r="N36" i="10"/>
  <c r="D32" i="11"/>
  <c r="N32" i="10"/>
  <c r="D28" i="11"/>
  <c r="N28" i="10"/>
  <c r="D24" i="11"/>
  <c r="N24" i="10"/>
  <c r="N19" i="10"/>
  <c r="D19" i="11"/>
  <c r="N15" i="10"/>
  <c r="D15" i="11"/>
  <c r="N11" i="10"/>
  <c r="D11" i="11"/>
  <c r="D42" i="11"/>
  <c r="N42" i="10"/>
  <c r="N34" i="10"/>
  <c r="D34" i="11"/>
  <c r="D26" i="11"/>
  <c r="N26" i="10"/>
  <c r="N22" i="10"/>
  <c r="D22" i="11"/>
  <c r="AF42" i="20"/>
  <c r="AF34" i="20"/>
  <c r="AF26" i="20"/>
  <c r="AF22" i="20"/>
  <c r="D37" i="11"/>
  <c r="N37" i="10"/>
  <c r="N29" i="10"/>
  <c r="D29" i="11"/>
  <c r="AF17" i="20"/>
  <c r="AF13" i="20"/>
  <c r="AH17" i="20"/>
  <c r="AH13" i="20"/>
  <c r="AF41" i="20"/>
  <c r="AF37" i="20"/>
  <c r="AF33" i="20"/>
  <c r="AF29" i="20"/>
  <c r="AF25" i="20"/>
  <c r="N12" i="10"/>
  <c r="N43" i="10"/>
  <c r="D43" i="11"/>
  <c r="N39" i="10"/>
  <c r="D39" i="11"/>
  <c r="N35" i="10"/>
  <c r="D35" i="11"/>
  <c r="N31" i="10"/>
  <c r="D31" i="11"/>
  <c r="N27" i="10"/>
  <c r="D27" i="11"/>
  <c r="N23" i="10"/>
  <c r="D23" i="11"/>
  <c r="D18" i="11"/>
  <c r="N18" i="10"/>
  <c r="D14" i="11"/>
  <c r="N14" i="10"/>
  <c r="D10" i="11"/>
  <c r="N10" i="10"/>
  <c r="AH21" i="20"/>
  <c r="D21" i="11"/>
  <c r="N21" i="10"/>
  <c r="AF21" i="20"/>
  <c r="AG20" i="15"/>
  <c r="D20" i="10"/>
  <c r="AG42" i="15"/>
  <c r="D42" i="10"/>
  <c r="AG38" i="15"/>
  <c r="D38" i="10"/>
  <c r="AG34" i="15"/>
  <c r="D34" i="10"/>
  <c r="AG30" i="15"/>
  <c r="D30" i="10"/>
  <c r="AG26" i="15"/>
  <c r="D26" i="10"/>
  <c r="AG22" i="15"/>
  <c r="D22" i="10"/>
  <c r="AG18" i="15"/>
  <c r="D18" i="10"/>
  <c r="AG14" i="15"/>
  <c r="D14" i="10"/>
  <c r="AG10" i="15"/>
  <c r="D10" i="10"/>
  <c r="AG40" i="15"/>
  <c r="D40" i="10"/>
  <c r="AG28" i="15"/>
  <c r="D28" i="10"/>
  <c r="AG24" i="15"/>
  <c r="D24" i="10"/>
  <c r="AG41" i="15"/>
  <c r="D41" i="10"/>
  <c r="AG37" i="15"/>
  <c r="D37" i="10"/>
  <c r="AG33" i="15"/>
  <c r="D33" i="10"/>
  <c r="AG29" i="15"/>
  <c r="D29" i="10"/>
  <c r="AG25" i="15"/>
  <c r="D25" i="10"/>
  <c r="AG21" i="15"/>
  <c r="D21" i="10"/>
  <c r="AG17" i="15"/>
  <c r="D17" i="10"/>
  <c r="AG13" i="15"/>
  <c r="D13" i="10"/>
  <c r="AG12" i="15"/>
  <c r="D12" i="10"/>
  <c r="AG44" i="15"/>
  <c r="D44" i="10"/>
  <c r="AG36" i="15"/>
  <c r="D36" i="10"/>
  <c r="AG32" i="15"/>
  <c r="D32" i="10"/>
  <c r="AG16" i="15"/>
  <c r="D16" i="10"/>
  <c r="AG43" i="15"/>
  <c r="D43" i="10"/>
  <c r="AG39" i="15"/>
  <c r="D39" i="10"/>
  <c r="AG35" i="15"/>
  <c r="D35" i="10"/>
  <c r="AG31" i="15"/>
  <c r="D31" i="10"/>
  <c r="AG27" i="15"/>
  <c r="D27" i="10"/>
  <c r="AG23" i="15"/>
  <c r="D23" i="10"/>
  <c r="AG19" i="15"/>
  <c r="D19" i="10"/>
  <c r="AG15" i="15"/>
  <c r="D15" i="10"/>
  <c r="AG11" i="15"/>
  <c r="D11" i="10"/>
  <c r="AF9" i="15"/>
  <c r="AH9" i="15"/>
  <c r="C9" i="11" l="1"/>
  <c r="H9" i="10"/>
  <c r="AO11" i="21"/>
  <c r="H9" i="19" s="1"/>
  <c r="AO10" i="21"/>
  <c r="H8" i="19" s="1"/>
  <c r="AO9" i="21"/>
  <c r="H7" i="19" s="1"/>
  <c r="AO11" i="20"/>
  <c r="H9" i="18" s="1"/>
  <c r="AO9" i="20"/>
  <c r="H7" i="18" s="1"/>
  <c r="AO10" i="20"/>
  <c r="H8" i="18" s="1"/>
  <c r="AO12" i="20"/>
  <c r="H10" i="18" s="1"/>
  <c r="AH15" i="15"/>
  <c r="C15" i="11"/>
  <c r="H15" i="10"/>
  <c r="AH23" i="15"/>
  <c r="C23" i="11"/>
  <c r="H23" i="10"/>
  <c r="AH31" i="15"/>
  <c r="C31" i="11"/>
  <c r="H31" i="10"/>
  <c r="AH39" i="15"/>
  <c r="C39" i="11"/>
  <c r="H39" i="10"/>
  <c r="AH16" i="15"/>
  <c r="H16" i="10"/>
  <c r="C16" i="11"/>
  <c r="AH36" i="15"/>
  <c r="C36" i="11"/>
  <c r="H36" i="10"/>
  <c r="AH12" i="15"/>
  <c r="C12" i="11"/>
  <c r="H12" i="10"/>
  <c r="AH17" i="15"/>
  <c r="C17" i="11"/>
  <c r="H17" i="10"/>
  <c r="AH25" i="15"/>
  <c r="C25" i="11"/>
  <c r="H25" i="10"/>
  <c r="AH33" i="15"/>
  <c r="C33" i="11"/>
  <c r="H33" i="10"/>
  <c r="AH41" i="15"/>
  <c r="C41" i="11"/>
  <c r="H41" i="10"/>
  <c r="AH28" i="15"/>
  <c r="C28" i="11"/>
  <c r="H28" i="10"/>
  <c r="AH10" i="15"/>
  <c r="C10" i="11"/>
  <c r="H10" i="10"/>
  <c r="AH18" i="15"/>
  <c r="C18" i="11"/>
  <c r="H18" i="10"/>
  <c r="AH26" i="15"/>
  <c r="C26" i="11"/>
  <c r="H26" i="10"/>
  <c r="AH34" i="15"/>
  <c r="C34" i="11"/>
  <c r="H34" i="10"/>
  <c r="AH42" i="15"/>
  <c r="C42" i="11"/>
  <c r="H42" i="10"/>
  <c r="AH11" i="15"/>
  <c r="C11" i="11"/>
  <c r="H11" i="10"/>
  <c r="AH19" i="15"/>
  <c r="C19" i="11"/>
  <c r="H19" i="10"/>
  <c r="AH27" i="15"/>
  <c r="C27" i="11"/>
  <c r="H27" i="10"/>
  <c r="AH35" i="15"/>
  <c r="C35" i="11"/>
  <c r="H35" i="10"/>
  <c r="AH43" i="15"/>
  <c r="C43" i="11"/>
  <c r="H43" i="10"/>
  <c r="AH32" i="15"/>
  <c r="H32" i="10"/>
  <c r="C32" i="11"/>
  <c r="AH44" i="15"/>
  <c r="C44" i="11"/>
  <c r="H44" i="10"/>
  <c r="AH13" i="15"/>
  <c r="H13" i="10"/>
  <c r="C13" i="11"/>
  <c r="AH21" i="15"/>
  <c r="H21" i="10"/>
  <c r="C21" i="11"/>
  <c r="AH29" i="15"/>
  <c r="H29" i="10"/>
  <c r="C29" i="11"/>
  <c r="AH37" i="15"/>
  <c r="H37" i="10"/>
  <c r="C37" i="11"/>
  <c r="AH24" i="15"/>
  <c r="H24" i="10"/>
  <c r="C24" i="11"/>
  <c r="AH40" i="15"/>
  <c r="H40" i="10"/>
  <c r="C40" i="11"/>
  <c r="AH14" i="15"/>
  <c r="C14" i="11"/>
  <c r="H14" i="10"/>
  <c r="AH22" i="15"/>
  <c r="C22" i="11"/>
  <c r="H22" i="10"/>
  <c r="AH30" i="15"/>
  <c r="C30" i="11"/>
  <c r="H30" i="10"/>
  <c r="AH38" i="15"/>
  <c r="C38" i="11"/>
  <c r="H38" i="10"/>
  <c r="AH20" i="15"/>
  <c r="C20" i="11"/>
  <c r="H20" i="10"/>
  <c r="C5" i="11"/>
  <c r="H11" i="19" l="1"/>
  <c r="I7" i="19" s="1"/>
  <c r="H11" i="18"/>
  <c r="I13" i="11"/>
  <c r="I9" i="11"/>
  <c r="L5" i="11"/>
  <c r="L4" i="11"/>
  <c r="L3" i="11"/>
  <c r="C4" i="11"/>
  <c r="C3" i="11"/>
  <c r="C33" i="19"/>
  <c r="I5" i="19"/>
  <c r="D5" i="19"/>
  <c r="I4" i="19"/>
  <c r="D4" i="19"/>
  <c r="I3" i="19"/>
  <c r="D3" i="19"/>
  <c r="C33" i="18"/>
  <c r="I5" i="18"/>
  <c r="D5" i="18"/>
  <c r="I4" i="18"/>
  <c r="D4" i="18"/>
  <c r="I3" i="18"/>
  <c r="D3" i="18"/>
  <c r="C33" i="17"/>
  <c r="I5" i="17"/>
  <c r="I4" i="17"/>
  <c r="I3" i="17"/>
  <c r="D5" i="17"/>
  <c r="D4" i="17"/>
  <c r="D3" i="17"/>
  <c r="I8" i="19" l="1"/>
  <c r="I10" i="19"/>
  <c r="I9" i="19"/>
  <c r="I8" i="18"/>
  <c r="I7" i="18"/>
  <c r="I9" i="18"/>
  <c r="I10" i="18"/>
  <c r="K9" i="11"/>
  <c r="K13" i="11"/>
  <c r="G9" i="10"/>
  <c r="I11" i="19" l="1"/>
  <c r="I11" i="18"/>
  <c r="G44" i="10"/>
  <c r="B44" i="15"/>
  <c r="G43" i="10"/>
  <c r="B43" i="15"/>
  <c r="G42" i="10"/>
  <c r="B42" i="15"/>
  <c r="G41" i="10"/>
  <c r="B41" i="15"/>
  <c r="G40" i="10"/>
  <c r="B40" i="15"/>
  <c r="G39" i="10"/>
  <c r="B39" i="15"/>
  <c r="G38" i="10"/>
  <c r="B38" i="15"/>
  <c r="G37" i="10"/>
  <c r="B37" i="15"/>
  <c r="G36" i="10"/>
  <c r="B36" i="15"/>
  <c r="G35" i="10"/>
  <c r="B35" i="15"/>
  <c r="G34" i="10"/>
  <c r="B34" i="15"/>
  <c r="G33" i="10"/>
  <c r="B33" i="15"/>
  <c r="G32" i="10"/>
  <c r="B32" i="15"/>
  <c r="G31" i="10"/>
  <c r="B31" i="15"/>
  <c r="G30" i="10"/>
  <c r="B30" i="15"/>
  <c r="G29" i="10"/>
  <c r="B29" i="15"/>
  <c r="G28" i="10"/>
  <c r="B28" i="15"/>
  <c r="G27" i="10"/>
  <c r="B27" i="15"/>
  <c r="G26" i="10"/>
  <c r="B26" i="15"/>
  <c r="G25" i="10"/>
  <c r="B25" i="15"/>
  <c r="G24" i="10"/>
  <c r="B24" i="15"/>
  <c r="G23" i="10"/>
  <c r="B23" i="15"/>
  <c r="G22" i="10"/>
  <c r="B22" i="15"/>
  <c r="G21" i="10"/>
  <c r="B21" i="15"/>
  <c r="G20" i="10"/>
  <c r="B20" i="15"/>
  <c r="G19" i="10"/>
  <c r="B19" i="15"/>
  <c r="G18" i="10"/>
  <c r="B18" i="15"/>
  <c r="G17" i="10"/>
  <c r="B17" i="15"/>
  <c r="G16" i="10"/>
  <c r="B16" i="15"/>
  <c r="G15" i="10"/>
  <c r="B15" i="15"/>
  <c r="G14" i="10"/>
  <c r="B14" i="15"/>
  <c r="G13" i="10"/>
  <c r="B13" i="15"/>
  <c r="G12" i="10"/>
  <c r="B12" i="15"/>
  <c r="G11" i="10"/>
  <c r="B11" i="15"/>
  <c r="G10" i="10"/>
  <c r="B10" i="15"/>
  <c r="B9" i="15"/>
  <c r="AI5" i="15"/>
  <c r="S5" i="15"/>
  <c r="C5" i="15"/>
  <c r="AI4" i="15"/>
  <c r="S4" i="15"/>
  <c r="C4" i="15"/>
  <c r="AI3" i="15"/>
  <c r="S3" i="15"/>
  <c r="C3" i="15"/>
  <c r="C5" i="10"/>
  <c r="C4" i="10"/>
  <c r="C3" i="10"/>
  <c r="AN4" i="15" l="1"/>
  <c r="AF13" i="15"/>
  <c r="AF37" i="15"/>
  <c r="AF30" i="15" l="1"/>
  <c r="AF10" i="15"/>
  <c r="AF44" i="15"/>
  <c r="AF36" i="15"/>
  <c r="AF20" i="15"/>
  <c r="AF32" i="15"/>
  <c r="AF28" i="15"/>
  <c r="AF40" i="15"/>
  <c r="AF24" i="15"/>
  <c r="AF12" i="15"/>
  <c r="AF27" i="15"/>
  <c r="AF42" i="15"/>
  <c r="AF38" i="15"/>
  <c r="AF26" i="15"/>
  <c r="AF14" i="15"/>
  <c r="AF34" i="15"/>
  <c r="AF43" i="15"/>
  <c r="AF18" i="15"/>
  <c r="AF22" i="15"/>
  <c r="AF35" i="15"/>
  <c r="AF23" i="15"/>
  <c r="AF39" i="15"/>
  <c r="AF31" i="15"/>
  <c r="AF21" i="15"/>
  <c r="AF19" i="15"/>
  <c r="AF16" i="15"/>
  <c r="AF15" i="15"/>
  <c r="AF11" i="15"/>
  <c r="AF25" i="15"/>
  <c r="AF41" i="15"/>
  <c r="AF33" i="15"/>
  <c r="AF29" i="15"/>
  <c r="AF17" i="15"/>
  <c r="AO12" i="15" l="1"/>
  <c r="H10" i="17" s="1"/>
  <c r="AO11" i="15"/>
  <c r="H9" i="17" s="1"/>
  <c r="AO10" i="15"/>
  <c r="H8" i="17" s="1"/>
  <c r="AO9" i="15"/>
  <c r="H7" i="17" s="1"/>
  <c r="U9" i="10" l="1"/>
  <c r="F9" i="11" s="1"/>
  <c r="H17" i="14" s="1"/>
  <c r="H11" i="17"/>
  <c r="I9" i="17" s="1"/>
  <c r="I7" i="14"/>
  <c r="I6" i="14"/>
  <c r="G8" i="14"/>
  <c r="G7" i="14"/>
  <c r="G6" i="14"/>
  <c r="I8" i="14"/>
  <c r="H53" i="14"/>
  <c r="H54" i="14"/>
  <c r="H55" i="14"/>
  <c r="H56" i="14"/>
  <c r="H57" i="14"/>
  <c r="H58" i="14"/>
  <c r="H59" i="14"/>
  <c r="H60" i="14"/>
  <c r="I7" i="17" l="1"/>
  <c r="I8" i="17"/>
  <c r="I10" i="17"/>
  <c r="H4" i="13"/>
  <c r="H3" i="13"/>
  <c r="H5" i="13"/>
  <c r="I11" i="17" l="1"/>
  <c r="E5" i="13"/>
  <c r="E4" i="13"/>
  <c r="E47" i="13"/>
  <c r="E40" i="13"/>
  <c r="E33" i="13"/>
  <c r="E26" i="13"/>
  <c r="E19" i="13"/>
  <c r="E12" i="13"/>
  <c r="E3" i="13"/>
  <c r="G47" i="13"/>
  <c r="H44" i="13" s="1"/>
  <c r="F47" i="13"/>
  <c r="G40" i="13"/>
  <c r="H39" i="13" s="1"/>
  <c r="F40" i="13"/>
  <c r="G33" i="13"/>
  <c r="H32" i="13" s="1"/>
  <c r="F33" i="13"/>
  <c r="G26" i="13"/>
  <c r="H24" i="13" s="1"/>
  <c r="F26" i="13"/>
  <c r="G19" i="13"/>
  <c r="H18" i="13" s="1"/>
  <c r="F19" i="13"/>
  <c r="G12" i="13"/>
  <c r="H9" i="13" s="1"/>
  <c r="F12" i="13"/>
  <c r="K5" i="12"/>
  <c r="K4" i="12"/>
  <c r="K3" i="12"/>
  <c r="E5" i="12"/>
  <c r="E4" i="12"/>
  <c r="E3" i="12"/>
  <c r="B44" i="11"/>
  <c r="B43" i="11"/>
  <c r="B42" i="11"/>
  <c r="B41" i="11"/>
  <c r="B40" i="11"/>
  <c r="B39" i="11"/>
  <c r="B38" i="11"/>
  <c r="B37" i="11"/>
  <c r="B36" i="11"/>
  <c r="B35" i="11"/>
  <c r="B34" i="11"/>
  <c r="B33" i="11"/>
  <c r="B32" i="11"/>
  <c r="B31" i="11"/>
  <c r="B30" i="11"/>
  <c r="B29" i="11"/>
  <c r="B28" i="11"/>
  <c r="B27" i="11"/>
  <c r="B26" i="11"/>
  <c r="B25" i="11"/>
  <c r="B24" i="11"/>
  <c r="B23" i="11"/>
  <c r="B22" i="11"/>
  <c r="B21" i="11"/>
  <c r="B20" i="11"/>
  <c r="B19" i="11"/>
  <c r="B18" i="11"/>
  <c r="B17" i="11"/>
  <c r="B16" i="11"/>
  <c r="B15" i="11"/>
  <c r="B14" i="11"/>
  <c r="B13" i="11"/>
  <c r="B12" i="11"/>
  <c r="B11" i="11"/>
  <c r="B10" i="11"/>
  <c r="B9" i="11"/>
  <c r="B44" i="10"/>
  <c r="B43" i="10"/>
  <c r="B42" i="10"/>
  <c r="B41" i="10"/>
  <c r="B40" i="10"/>
  <c r="B39" i="10"/>
  <c r="B38" i="10"/>
  <c r="B37" i="10"/>
  <c r="B36" i="10"/>
  <c r="B35" i="10"/>
  <c r="B34" i="10"/>
  <c r="B33" i="10"/>
  <c r="B32" i="10"/>
  <c r="B31" i="10"/>
  <c r="B30" i="10"/>
  <c r="B29" i="10"/>
  <c r="B28" i="10"/>
  <c r="B27" i="10"/>
  <c r="B26" i="10"/>
  <c r="B25" i="10"/>
  <c r="B24" i="10"/>
  <c r="B23" i="10"/>
  <c r="B22" i="10"/>
  <c r="B21" i="10"/>
  <c r="B20" i="10"/>
  <c r="B19" i="10"/>
  <c r="B18" i="10"/>
  <c r="B17" i="10"/>
  <c r="B16" i="10"/>
  <c r="B15" i="10"/>
  <c r="B14" i="10"/>
  <c r="B13" i="10"/>
  <c r="B12" i="10"/>
  <c r="B11" i="10"/>
  <c r="B10" i="10"/>
  <c r="B9" i="10"/>
  <c r="U5" i="10"/>
  <c r="U4" i="10"/>
  <c r="U3" i="10"/>
  <c r="BE43" i="9"/>
  <c r="BD43" i="9"/>
  <c r="BC43" i="9"/>
  <c r="BB43" i="9"/>
  <c r="BA43" i="9"/>
  <c r="B43" i="9"/>
  <c r="BE42" i="9"/>
  <c r="BD42" i="9"/>
  <c r="BC42" i="9"/>
  <c r="BB42" i="9"/>
  <c r="BA42" i="9"/>
  <c r="B42" i="9"/>
  <c r="BE41" i="9"/>
  <c r="BD41" i="9"/>
  <c r="BC41" i="9"/>
  <c r="BB41" i="9"/>
  <c r="BA41" i="9"/>
  <c r="B41" i="9"/>
  <c r="BE40" i="9"/>
  <c r="BD40" i="9"/>
  <c r="BC40" i="9"/>
  <c r="BB40" i="9"/>
  <c r="BA40" i="9"/>
  <c r="B40" i="9"/>
  <c r="BE39" i="9"/>
  <c r="BD39" i="9"/>
  <c r="BC39" i="9"/>
  <c r="BB39" i="9"/>
  <c r="BA39" i="9"/>
  <c r="B39" i="9"/>
  <c r="BE38" i="9"/>
  <c r="BD38" i="9"/>
  <c r="BC38" i="9"/>
  <c r="BB38" i="9"/>
  <c r="BA38" i="9"/>
  <c r="B38" i="9"/>
  <c r="BE37" i="9"/>
  <c r="BD37" i="9"/>
  <c r="BC37" i="9"/>
  <c r="BB37" i="9"/>
  <c r="BA37" i="9"/>
  <c r="B37" i="9"/>
  <c r="BE36" i="9"/>
  <c r="BD36" i="9"/>
  <c r="BC36" i="9"/>
  <c r="BB36" i="9"/>
  <c r="BA36" i="9"/>
  <c r="B36" i="9"/>
  <c r="BE35" i="9"/>
  <c r="BD35" i="9"/>
  <c r="BC35" i="9"/>
  <c r="BB35" i="9"/>
  <c r="BA35" i="9"/>
  <c r="B35" i="9"/>
  <c r="BE34" i="9"/>
  <c r="BD34" i="9"/>
  <c r="BC34" i="9"/>
  <c r="BB34" i="9"/>
  <c r="BA34" i="9"/>
  <c r="B34" i="9"/>
  <c r="BE33" i="9"/>
  <c r="BD33" i="9"/>
  <c r="BC33" i="9"/>
  <c r="BB33" i="9"/>
  <c r="BA33" i="9"/>
  <c r="B33" i="9"/>
  <c r="BE32" i="9"/>
  <c r="BD32" i="9"/>
  <c r="BC32" i="9"/>
  <c r="BB32" i="9"/>
  <c r="BA32" i="9"/>
  <c r="B32" i="9"/>
  <c r="BE31" i="9"/>
  <c r="BD31" i="9"/>
  <c r="BC31" i="9"/>
  <c r="BB31" i="9"/>
  <c r="BA31" i="9"/>
  <c r="B31" i="9"/>
  <c r="BE30" i="9"/>
  <c r="BD30" i="9"/>
  <c r="BC30" i="9"/>
  <c r="BB30" i="9"/>
  <c r="BA30" i="9"/>
  <c r="B30" i="9"/>
  <c r="BE29" i="9"/>
  <c r="BD29" i="9"/>
  <c r="BC29" i="9"/>
  <c r="BB29" i="9"/>
  <c r="BA29" i="9"/>
  <c r="B29" i="9"/>
  <c r="BE28" i="9"/>
  <c r="BD28" i="9"/>
  <c r="BC28" i="9"/>
  <c r="BB28" i="9"/>
  <c r="BA28" i="9"/>
  <c r="B28" i="9"/>
  <c r="BE27" i="9"/>
  <c r="BD27" i="9"/>
  <c r="BC27" i="9"/>
  <c r="BB27" i="9"/>
  <c r="BA27" i="9"/>
  <c r="B27" i="9"/>
  <c r="BE26" i="9"/>
  <c r="BD26" i="9"/>
  <c r="BC26" i="9"/>
  <c r="BB26" i="9"/>
  <c r="BA26" i="9"/>
  <c r="B26" i="9"/>
  <c r="BE25" i="9"/>
  <c r="BD25" i="9"/>
  <c r="BC25" i="9"/>
  <c r="BB25" i="9"/>
  <c r="BA25" i="9"/>
  <c r="B25" i="9"/>
  <c r="BE24" i="9"/>
  <c r="BD24" i="9"/>
  <c r="BC24" i="9"/>
  <c r="BB24" i="9"/>
  <c r="BA24" i="9"/>
  <c r="B24" i="9"/>
  <c r="BE23" i="9"/>
  <c r="BD23" i="9"/>
  <c r="BC23" i="9"/>
  <c r="BB23" i="9"/>
  <c r="BA23" i="9"/>
  <c r="B23" i="9"/>
  <c r="BE22" i="9"/>
  <c r="BD22" i="9"/>
  <c r="BC22" i="9"/>
  <c r="BB22" i="9"/>
  <c r="BA22" i="9"/>
  <c r="B22" i="9"/>
  <c r="BE21" i="9"/>
  <c r="BD21" i="9"/>
  <c r="BC21" i="9"/>
  <c r="BB21" i="9"/>
  <c r="BA21" i="9"/>
  <c r="B21" i="9"/>
  <c r="BE20" i="9"/>
  <c r="BD20" i="9"/>
  <c r="BC20" i="9"/>
  <c r="BB20" i="9"/>
  <c r="BA20" i="9"/>
  <c r="B20" i="9"/>
  <c r="BE19" i="9"/>
  <c r="BD19" i="9"/>
  <c r="BC19" i="9"/>
  <c r="BB19" i="9"/>
  <c r="BA19" i="9"/>
  <c r="B19" i="9"/>
  <c r="BE18" i="9"/>
  <c r="BD18" i="9"/>
  <c r="BC18" i="9"/>
  <c r="BB18" i="9"/>
  <c r="BA18" i="9"/>
  <c r="B18" i="9"/>
  <c r="BE17" i="9"/>
  <c r="BD17" i="9"/>
  <c r="BC17" i="9"/>
  <c r="BB17" i="9"/>
  <c r="BA17" i="9"/>
  <c r="B17" i="9"/>
  <c r="BE16" i="9"/>
  <c r="BD16" i="9"/>
  <c r="BC16" i="9"/>
  <c r="BB16" i="9"/>
  <c r="BA16" i="9"/>
  <c r="B16" i="9"/>
  <c r="BE15" i="9"/>
  <c r="BD15" i="9"/>
  <c r="BC15" i="9"/>
  <c r="BB15" i="9"/>
  <c r="BA15" i="9"/>
  <c r="B15" i="9"/>
  <c r="BE14" i="9"/>
  <c r="BD14" i="9"/>
  <c r="BC14" i="9"/>
  <c r="BB14" i="9"/>
  <c r="BA14" i="9"/>
  <c r="B14" i="9"/>
  <c r="BE13" i="9"/>
  <c r="BD13" i="9"/>
  <c r="BC13" i="9"/>
  <c r="BB13" i="9"/>
  <c r="BA13" i="9"/>
  <c r="B13" i="9"/>
  <c r="BE12" i="9"/>
  <c r="BD12" i="9"/>
  <c r="BC12" i="9"/>
  <c r="BB12" i="9"/>
  <c r="BA12" i="9"/>
  <c r="B12" i="9"/>
  <c r="BE11" i="9"/>
  <c r="BD11" i="9"/>
  <c r="BC11" i="9"/>
  <c r="BB11" i="9"/>
  <c r="BA11" i="9"/>
  <c r="B11" i="9"/>
  <c r="BE10" i="9"/>
  <c r="BD10" i="9"/>
  <c r="BC10" i="9"/>
  <c r="BB10" i="9"/>
  <c r="BA10" i="9"/>
  <c r="B10" i="9"/>
  <c r="BE9" i="9"/>
  <c r="BD9" i="9"/>
  <c r="BC9" i="9"/>
  <c r="BB9" i="9"/>
  <c r="BA9" i="9"/>
  <c r="B9" i="9"/>
  <c r="BE8" i="9"/>
  <c r="BD8" i="9"/>
  <c r="BC8" i="9"/>
  <c r="BB8" i="9"/>
  <c r="BA8" i="9"/>
  <c r="B8" i="9"/>
  <c r="AT5" i="9"/>
  <c r="BA4" i="9" s="1"/>
  <c r="X5" i="9"/>
  <c r="C5" i="9"/>
  <c r="AT4" i="9"/>
  <c r="X4" i="9"/>
  <c r="C4" i="9"/>
  <c r="AT3" i="9"/>
  <c r="X3" i="9"/>
  <c r="C3" i="9"/>
  <c r="H10" i="13" l="1"/>
  <c r="H12" i="13" s="1"/>
  <c r="H30" i="13"/>
  <c r="H25" i="13"/>
  <c r="H11" i="13"/>
  <c r="H31" i="13"/>
  <c r="H23" i="13"/>
  <c r="H45" i="13"/>
  <c r="H16" i="13"/>
  <c r="H17" i="13"/>
  <c r="H37" i="13"/>
  <c r="H46" i="13"/>
  <c r="H47" i="13" s="1"/>
  <c r="H38" i="13"/>
  <c r="U34" i="10"/>
  <c r="F34" i="11" s="1"/>
  <c r="H42" i="14" s="1"/>
  <c r="H26" i="13"/>
  <c r="U22" i="10"/>
  <c r="F22" i="11" s="1"/>
  <c r="H30" i="14" s="1"/>
  <c r="U24" i="10"/>
  <c r="F24" i="11" s="1"/>
  <c r="H32" i="14" s="1"/>
  <c r="AT4" i="4"/>
  <c r="AT3" i="4"/>
  <c r="BE43" i="4"/>
  <c r="BD43" i="4"/>
  <c r="BC43" i="4"/>
  <c r="BB43" i="4"/>
  <c r="BA43" i="4"/>
  <c r="B43" i="4"/>
  <c r="BE42" i="4"/>
  <c r="BD42" i="4"/>
  <c r="BC42" i="4"/>
  <c r="BB42" i="4"/>
  <c r="BA42" i="4"/>
  <c r="B42" i="4"/>
  <c r="BE41" i="4"/>
  <c r="BD41" i="4"/>
  <c r="BC41" i="4"/>
  <c r="BB41" i="4"/>
  <c r="BA41" i="4"/>
  <c r="B41" i="4"/>
  <c r="BE40" i="4"/>
  <c r="BD40" i="4"/>
  <c r="BC40" i="4"/>
  <c r="BB40" i="4"/>
  <c r="BA40" i="4"/>
  <c r="B40" i="4"/>
  <c r="BE39" i="4"/>
  <c r="BD39" i="4"/>
  <c r="BC39" i="4"/>
  <c r="BB39" i="4"/>
  <c r="BA39" i="4"/>
  <c r="B39" i="4"/>
  <c r="BE38" i="4"/>
  <c r="BD38" i="4"/>
  <c r="BC38" i="4"/>
  <c r="BB38" i="4"/>
  <c r="BA38" i="4"/>
  <c r="B38" i="4"/>
  <c r="BE37" i="4"/>
  <c r="BD37" i="4"/>
  <c r="BC37" i="4"/>
  <c r="BB37" i="4"/>
  <c r="BA37" i="4"/>
  <c r="B37" i="4"/>
  <c r="BE36" i="4"/>
  <c r="BD36" i="4"/>
  <c r="BC36" i="4"/>
  <c r="BB36" i="4"/>
  <c r="BA36" i="4"/>
  <c r="B36" i="4"/>
  <c r="BE35" i="4"/>
  <c r="BD35" i="4"/>
  <c r="BC35" i="4"/>
  <c r="BB35" i="4"/>
  <c r="BA35" i="4"/>
  <c r="B35" i="4"/>
  <c r="BE34" i="4"/>
  <c r="BD34" i="4"/>
  <c r="BC34" i="4"/>
  <c r="BB34" i="4"/>
  <c r="BA34" i="4"/>
  <c r="B34" i="4"/>
  <c r="BE33" i="4"/>
  <c r="BD33" i="4"/>
  <c r="BC33" i="4"/>
  <c r="BB33" i="4"/>
  <c r="BA33" i="4"/>
  <c r="B33" i="4"/>
  <c r="BE32" i="4"/>
  <c r="BD32" i="4"/>
  <c r="BC32" i="4"/>
  <c r="BB32" i="4"/>
  <c r="BA32" i="4"/>
  <c r="B32" i="4"/>
  <c r="BE31" i="4"/>
  <c r="BD31" i="4"/>
  <c r="BC31" i="4"/>
  <c r="BB31" i="4"/>
  <c r="BA31" i="4"/>
  <c r="B31" i="4"/>
  <c r="BE30" i="4"/>
  <c r="BD30" i="4"/>
  <c r="BC30" i="4"/>
  <c r="BB30" i="4"/>
  <c r="BA30" i="4"/>
  <c r="B30" i="4"/>
  <c r="BE29" i="4"/>
  <c r="BD29" i="4"/>
  <c r="BC29" i="4"/>
  <c r="BB29" i="4"/>
  <c r="BA29" i="4"/>
  <c r="B29" i="4"/>
  <c r="BE28" i="4"/>
  <c r="BD28" i="4"/>
  <c r="BC28" i="4"/>
  <c r="BB28" i="4"/>
  <c r="BA28" i="4"/>
  <c r="B28" i="4"/>
  <c r="BE27" i="4"/>
  <c r="BD27" i="4"/>
  <c r="BC27" i="4"/>
  <c r="BB27" i="4"/>
  <c r="BA27" i="4"/>
  <c r="B27" i="4"/>
  <c r="BE26" i="4"/>
  <c r="BD26" i="4"/>
  <c r="BC26" i="4"/>
  <c r="BB26" i="4"/>
  <c r="BA26" i="4"/>
  <c r="B26" i="4"/>
  <c r="BE25" i="4"/>
  <c r="BD25" i="4"/>
  <c r="BC25" i="4"/>
  <c r="BB25" i="4"/>
  <c r="BA25" i="4"/>
  <c r="B25" i="4"/>
  <c r="BE24" i="4"/>
  <c r="BD24" i="4"/>
  <c r="BC24" i="4"/>
  <c r="BB24" i="4"/>
  <c r="BA24" i="4"/>
  <c r="B24" i="4"/>
  <c r="BE23" i="4"/>
  <c r="BD23" i="4"/>
  <c r="BC23" i="4"/>
  <c r="BB23" i="4"/>
  <c r="BA23" i="4"/>
  <c r="B23" i="4"/>
  <c r="BE22" i="4"/>
  <c r="BD22" i="4"/>
  <c r="BC22" i="4"/>
  <c r="BB22" i="4"/>
  <c r="BA22" i="4"/>
  <c r="B22" i="4"/>
  <c r="BE21" i="4"/>
  <c r="BD21" i="4"/>
  <c r="BC21" i="4"/>
  <c r="BB21" i="4"/>
  <c r="BA21" i="4"/>
  <c r="B21" i="4"/>
  <c r="BE20" i="4"/>
  <c r="BD20" i="4"/>
  <c r="BC20" i="4"/>
  <c r="BB20" i="4"/>
  <c r="BA20" i="4"/>
  <c r="B20" i="4"/>
  <c r="BE19" i="4"/>
  <c r="BD19" i="4"/>
  <c r="BC19" i="4"/>
  <c r="BB19" i="4"/>
  <c r="BA19" i="4"/>
  <c r="B19" i="4"/>
  <c r="BE18" i="4"/>
  <c r="BD18" i="4"/>
  <c r="BC18" i="4"/>
  <c r="BB18" i="4"/>
  <c r="BA18" i="4"/>
  <c r="B18" i="4"/>
  <c r="BE17" i="4"/>
  <c r="BD17" i="4"/>
  <c r="BC17" i="4"/>
  <c r="BB17" i="4"/>
  <c r="BA17" i="4"/>
  <c r="B17" i="4"/>
  <c r="BE16" i="4"/>
  <c r="BD16" i="4"/>
  <c r="BC16" i="4"/>
  <c r="BB16" i="4"/>
  <c r="BA16" i="4"/>
  <c r="B16" i="4"/>
  <c r="BE15" i="4"/>
  <c r="BD15" i="4"/>
  <c r="BC15" i="4"/>
  <c r="BB15" i="4"/>
  <c r="BA15" i="4"/>
  <c r="B15" i="4"/>
  <c r="BE14" i="4"/>
  <c r="BD14" i="4"/>
  <c r="BC14" i="4"/>
  <c r="BB14" i="4"/>
  <c r="BA14" i="4"/>
  <c r="B14" i="4"/>
  <c r="BE13" i="4"/>
  <c r="BD13" i="4"/>
  <c r="BC13" i="4"/>
  <c r="BB13" i="4"/>
  <c r="BA13" i="4"/>
  <c r="B13" i="4"/>
  <c r="BE12" i="4"/>
  <c r="BD12" i="4"/>
  <c r="BC12" i="4"/>
  <c r="BB12" i="4"/>
  <c r="BA12" i="4"/>
  <c r="B12" i="4"/>
  <c r="BE11" i="4"/>
  <c r="BD11" i="4"/>
  <c r="BC11" i="4"/>
  <c r="BB11" i="4"/>
  <c r="BA11" i="4"/>
  <c r="B11" i="4"/>
  <c r="BE10" i="4"/>
  <c r="BD10" i="4"/>
  <c r="BC10" i="4"/>
  <c r="BB10" i="4"/>
  <c r="BA10" i="4"/>
  <c r="B10" i="4"/>
  <c r="BE9" i="4"/>
  <c r="BD9" i="4"/>
  <c r="BC9" i="4"/>
  <c r="BB9" i="4"/>
  <c r="BA9" i="4"/>
  <c r="B9" i="4"/>
  <c r="BE8" i="4"/>
  <c r="BD8" i="4"/>
  <c r="BC8" i="4"/>
  <c r="BB8" i="4"/>
  <c r="BA8" i="4"/>
  <c r="B8" i="4"/>
  <c r="AT5" i="4"/>
  <c r="BA4" i="4" s="1"/>
  <c r="X5" i="4"/>
  <c r="C5" i="4"/>
  <c r="X4" i="4"/>
  <c r="C4" i="4"/>
  <c r="X3" i="4"/>
  <c r="C3" i="4"/>
  <c r="AT5" i="3"/>
  <c r="BA4" i="3" s="1"/>
  <c r="X5" i="3"/>
  <c r="X4" i="3"/>
  <c r="X3" i="3"/>
  <c r="BE9" i="3"/>
  <c r="BE10" i="3"/>
  <c r="BE11" i="3"/>
  <c r="BE12" i="3"/>
  <c r="BE13" i="3"/>
  <c r="BE14" i="3"/>
  <c r="BE15" i="3"/>
  <c r="BE16" i="3"/>
  <c r="BE17" i="3"/>
  <c r="BE18" i="3"/>
  <c r="BE19" i="3"/>
  <c r="BE20" i="3"/>
  <c r="BE21" i="3"/>
  <c r="BE22" i="3"/>
  <c r="BE23" i="3"/>
  <c r="BE24" i="3"/>
  <c r="BE25" i="3"/>
  <c r="BE26" i="3"/>
  <c r="BE27" i="3"/>
  <c r="BE28" i="3"/>
  <c r="BE29" i="3"/>
  <c r="BE30" i="3"/>
  <c r="BE31" i="3"/>
  <c r="BE32" i="3"/>
  <c r="BE33" i="3"/>
  <c r="BE34" i="3"/>
  <c r="BE35" i="3"/>
  <c r="BE36" i="3"/>
  <c r="BE37" i="3"/>
  <c r="BE38" i="3"/>
  <c r="BE39" i="3"/>
  <c r="BE40" i="3"/>
  <c r="BE41" i="3"/>
  <c r="BE42" i="3"/>
  <c r="BE43" i="3"/>
  <c r="BD9" i="3"/>
  <c r="BD10" i="3"/>
  <c r="BD11" i="3"/>
  <c r="BD12" i="3"/>
  <c r="BD13" i="3"/>
  <c r="BD14" i="3"/>
  <c r="BD15" i="3"/>
  <c r="BD16" i="3"/>
  <c r="BD17" i="3"/>
  <c r="BD18" i="3"/>
  <c r="BD19" i="3"/>
  <c r="BD20" i="3"/>
  <c r="BD21" i="3"/>
  <c r="BD22" i="3"/>
  <c r="BD23" i="3"/>
  <c r="BD24" i="3"/>
  <c r="BD25" i="3"/>
  <c r="BD26" i="3"/>
  <c r="BD27" i="3"/>
  <c r="BD28" i="3"/>
  <c r="BD29" i="3"/>
  <c r="BD30" i="3"/>
  <c r="BD31" i="3"/>
  <c r="BD32" i="3"/>
  <c r="BD33" i="3"/>
  <c r="BD34" i="3"/>
  <c r="BD35" i="3"/>
  <c r="BD36" i="3"/>
  <c r="BD37" i="3"/>
  <c r="BD38" i="3"/>
  <c r="BD39" i="3"/>
  <c r="BD40" i="3"/>
  <c r="BD41" i="3"/>
  <c r="BD42" i="3"/>
  <c r="BD43" i="3"/>
  <c r="BC9" i="3"/>
  <c r="BC10" i="3"/>
  <c r="BC11" i="3"/>
  <c r="BC12" i="3"/>
  <c r="BC13" i="3"/>
  <c r="BC14" i="3"/>
  <c r="BC15" i="3"/>
  <c r="BC16" i="3"/>
  <c r="BC17" i="3"/>
  <c r="BC18" i="3"/>
  <c r="BC19" i="3"/>
  <c r="BC20" i="3"/>
  <c r="BC21" i="3"/>
  <c r="BC22" i="3"/>
  <c r="BC23" i="3"/>
  <c r="BC24" i="3"/>
  <c r="BC25" i="3"/>
  <c r="BC26" i="3"/>
  <c r="BC27" i="3"/>
  <c r="BC28" i="3"/>
  <c r="BC29" i="3"/>
  <c r="BC30" i="3"/>
  <c r="BC31" i="3"/>
  <c r="BC32" i="3"/>
  <c r="BC33" i="3"/>
  <c r="BC34" i="3"/>
  <c r="BC35" i="3"/>
  <c r="BC36" i="3"/>
  <c r="BC37" i="3"/>
  <c r="BC38" i="3"/>
  <c r="BC39" i="3"/>
  <c r="BC40" i="3"/>
  <c r="BC41" i="3"/>
  <c r="BC42" i="3"/>
  <c r="BC43" i="3"/>
  <c r="BB9" i="3"/>
  <c r="BB10" i="3"/>
  <c r="BB11" i="3"/>
  <c r="BB12" i="3"/>
  <c r="BB13" i="3"/>
  <c r="BB14" i="3"/>
  <c r="BB15" i="3"/>
  <c r="BB16" i="3"/>
  <c r="BB17" i="3"/>
  <c r="BB18" i="3"/>
  <c r="BB19" i="3"/>
  <c r="BB20" i="3"/>
  <c r="BB21" i="3"/>
  <c r="BB22" i="3"/>
  <c r="BB23" i="3"/>
  <c r="BB24" i="3"/>
  <c r="BB25" i="3"/>
  <c r="BB26" i="3"/>
  <c r="BB27" i="3"/>
  <c r="BB28" i="3"/>
  <c r="BB29" i="3"/>
  <c r="BB30" i="3"/>
  <c r="BB31" i="3"/>
  <c r="BB32" i="3"/>
  <c r="BB33" i="3"/>
  <c r="BB34" i="3"/>
  <c r="BB35" i="3"/>
  <c r="BB36" i="3"/>
  <c r="BB37" i="3"/>
  <c r="BB38" i="3"/>
  <c r="BB39" i="3"/>
  <c r="BB40" i="3"/>
  <c r="BB41" i="3"/>
  <c r="BB42" i="3"/>
  <c r="BB43" i="3"/>
  <c r="BA9" i="3"/>
  <c r="BA10" i="3"/>
  <c r="BA11" i="3"/>
  <c r="BA12" i="3"/>
  <c r="BA13" i="3"/>
  <c r="BA14" i="3"/>
  <c r="BA15" i="3"/>
  <c r="BA16" i="3"/>
  <c r="BA17" i="3"/>
  <c r="BA18" i="3"/>
  <c r="BA19" i="3"/>
  <c r="BA20" i="3"/>
  <c r="BA21" i="3"/>
  <c r="BA22" i="3"/>
  <c r="BA23" i="3"/>
  <c r="BA24" i="3"/>
  <c r="BA25" i="3"/>
  <c r="BA26" i="3"/>
  <c r="BA27" i="3"/>
  <c r="BA28" i="3"/>
  <c r="BA29" i="3"/>
  <c r="BA30" i="3"/>
  <c r="BA31" i="3"/>
  <c r="BA32" i="3"/>
  <c r="BA33" i="3"/>
  <c r="BA34" i="3"/>
  <c r="BA35" i="3"/>
  <c r="BA36" i="3"/>
  <c r="BA37" i="3"/>
  <c r="BA38" i="3"/>
  <c r="BA39" i="3"/>
  <c r="BA40" i="3"/>
  <c r="BA41" i="3"/>
  <c r="BA42" i="3"/>
  <c r="BA43" i="3"/>
  <c r="BE8" i="3"/>
  <c r="BD8" i="3"/>
  <c r="BC8" i="3"/>
  <c r="BB8" i="3"/>
  <c r="BA8" i="3"/>
  <c r="H19" i="13" l="1"/>
  <c r="H33" i="13"/>
  <c r="H40" i="13"/>
  <c r="U10" i="10"/>
  <c r="U38" i="10"/>
  <c r="U42" i="10"/>
  <c r="U37" i="10"/>
  <c r="F37" i="11" s="1"/>
  <c r="H45" i="14" s="1"/>
  <c r="U41" i="10"/>
  <c r="F41" i="11" s="1"/>
  <c r="H49" i="14" s="1"/>
  <c r="V34" i="10"/>
  <c r="U30" i="10"/>
  <c r="F30" i="11" s="1"/>
  <c r="H38" i="14" s="1"/>
  <c r="V24" i="10"/>
  <c r="V22" i="10"/>
  <c r="U26" i="10"/>
  <c r="F26" i="11" s="1"/>
  <c r="H34" i="14" s="1"/>
  <c r="U11" i="10"/>
  <c r="F11" i="11" s="1"/>
  <c r="H19" i="14" s="1"/>
  <c r="U23" i="10"/>
  <c r="F23" i="11" s="1"/>
  <c r="H31" i="14" s="1"/>
  <c r="U20" i="10"/>
  <c r="F20" i="11" s="1"/>
  <c r="H28" i="14" s="1"/>
  <c r="U16" i="10"/>
  <c r="F16" i="11" s="1"/>
  <c r="H24" i="14" s="1"/>
  <c r="U12" i="10"/>
  <c r="F12" i="11" s="1"/>
  <c r="H20" i="14" s="1"/>
  <c r="B43" i="3"/>
  <c r="D43" i="2"/>
  <c r="E43" i="2" s="1"/>
  <c r="C5" i="3"/>
  <c r="C4" i="3"/>
  <c r="C3" i="3"/>
  <c r="V42" i="10" l="1"/>
  <c r="F42" i="11"/>
  <c r="H50" i="14" s="1"/>
  <c r="V38" i="10"/>
  <c r="F38" i="11"/>
  <c r="H46" i="14" s="1"/>
  <c r="V10" i="10"/>
  <c r="F10" i="11"/>
  <c r="H18" i="14" s="1"/>
  <c r="U18" i="10"/>
  <c r="V18" i="10" s="1"/>
  <c r="G22" i="11"/>
  <c r="G24" i="11"/>
  <c r="G34" i="11"/>
  <c r="U17" i="10"/>
  <c r="J13" i="11"/>
  <c r="E25" i="12" s="1"/>
  <c r="J9" i="11"/>
  <c r="E24" i="12" s="1"/>
  <c r="U13" i="10"/>
  <c r="U29" i="10"/>
  <c r="U25" i="10"/>
  <c r="U14" i="10"/>
  <c r="F14" i="11" s="1"/>
  <c r="H22" i="14" s="1"/>
  <c r="V26" i="10"/>
  <c r="U28" i="10"/>
  <c r="F28" i="11" s="1"/>
  <c r="H36" i="14" s="1"/>
  <c r="V30" i="10"/>
  <c r="G37" i="11"/>
  <c r="U27" i="10"/>
  <c r="F27" i="11" s="1"/>
  <c r="H35" i="14" s="1"/>
  <c r="U35" i="10"/>
  <c r="F35" i="11" s="1"/>
  <c r="H43" i="14" s="1"/>
  <c r="U31" i="10"/>
  <c r="F31" i="11" s="1"/>
  <c r="H39" i="14" s="1"/>
  <c r="U43" i="10"/>
  <c r="F43" i="11" s="1"/>
  <c r="H51" i="14" s="1"/>
  <c r="U19" i="10"/>
  <c r="F19" i="11" s="1"/>
  <c r="H27" i="14" s="1"/>
  <c r="U33" i="10"/>
  <c r="F33" i="11" s="1"/>
  <c r="H41" i="14" s="1"/>
  <c r="U44" i="10"/>
  <c r="F44" i="11" s="1"/>
  <c r="H52" i="14" s="1"/>
  <c r="U39" i="10"/>
  <c r="F39" i="11" s="1"/>
  <c r="H47" i="14" s="1"/>
  <c r="G41" i="11"/>
  <c r="U36" i="10"/>
  <c r="F36" i="11" s="1"/>
  <c r="H44" i="14" s="1"/>
  <c r="U32" i="10"/>
  <c r="F32" i="11" s="1"/>
  <c r="H40" i="14" s="1"/>
  <c r="U15" i="10"/>
  <c r="F15" i="11" s="1"/>
  <c r="H23" i="14" s="1"/>
  <c r="U40" i="10"/>
  <c r="F40" i="11" s="1"/>
  <c r="H48" i="14" s="1"/>
  <c r="U21" i="10"/>
  <c r="F21" i="11" s="1"/>
  <c r="H29" i="14" s="1"/>
  <c r="G30" i="11"/>
  <c r="V37" i="10"/>
  <c r="V41" i="10"/>
  <c r="V11" i="10"/>
  <c r="V12" i="10"/>
  <c r="V20" i="10"/>
  <c r="V16" i="10"/>
  <c r="V23" i="10"/>
  <c r="E37" i="12"/>
  <c r="E36" i="12"/>
  <c r="B10" i="3"/>
  <c r="B11" i="3"/>
  <c r="B12" i="3"/>
  <c r="B13" i="3"/>
  <c r="B14" i="3"/>
  <c r="B15" i="3"/>
  <c r="B16" i="3"/>
  <c r="B17" i="3"/>
  <c r="B18" i="3"/>
  <c r="B19" i="3"/>
  <c r="B20" i="3"/>
  <c r="B21" i="3"/>
  <c r="B22" i="3"/>
  <c r="B23" i="3"/>
  <c r="B24" i="3"/>
  <c r="B25" i="3"/>
  <c r="B26" i="3"/>
  <c r="B27" i="3"/>
  <c r="B28" i="3"/>
  <c r="B29" i="3"/>
  <c r="B30" i="3"/>
  <c r="B31" i="3"/>
  <c r="B32" i="3"/>
  <c r="B33" i="3"/>
  <c r="B34" i="3"/>
  <c r="B35" i="3"/>
  <c r="B36" i="3"/>
  <c r="B37" i="3"/>
  <c r="B38" i="3"/>
  <c r="B39" i="3"/>
  <c r="B40" i="3"/>
  <c r="B41" i="3"/>
  <c r="B42" i="3"/>
  <c r="B9" i="3"/>
  <c r="B8" i="3"/>
  <c r="G42" i="11" l="1"/>
  <c r="F17" i="11"/>
  <c r="H25" i="14" s="1"/>
  <c r="F18" i="11"/>
  <c r="H26" i="14" s="1"/>
  <c r="V25" i="10"/>
  <c r="F25" i="11"/>
  <c r="H33" i="14" s="1"/>
  <c r="G38" i="11"/>
  <c r="V13" i="10"/>
  <c r="F13" i="11"/>
  <c r="H21" i="14" s="1"/>
  <c r="V29" i="10"/>
  <c r="F29" i="11"/>
  <c r="H37" i="14" s="1"/>
  <c r="G11" i="11"/>
  <c r="G23" i="11"/>
  <c r="G10" i="11"/>
  <c r="V17" i="10"/>
  <c r="G20" i="11"/>
  <c r="G39" i="11"/>
  <c r="G43" i="11"/>
  <c r="G36" i="11"/>
  <c r="G16" i="11"/>
  <c r="G40" i="11"/>
  <c r="G25" i="11"/>
  <c r="G27" i="11"/>
  <c r="G13" i="11"/>
  <c r="G12" i="11"/>
  <c r="G14" i="11"/>
  <c r="V14" i="10"/>
  <c r="G26" i="11"/>
  <c r="V28" i="10"/>
  <c r="V40" i="10"/>
  <c r="V36" i="10"/>
  <c r="V44" i="10"/>
  <c r="V19" i="10"/>
  <c r="V43" i="10"/>
  <c r="V35" i="10"/>
  <c r="V21" i="10"/>
  <c r="V15" i="10"/>
  <c r="V32" i="10"/>
  <c r="G33" i="11"/>
  <c r="V39" i="10"/>
  <c r="V33" i="10"/>
  <c r="V31" i="10"/>
  <c r="V27" i="10"/>
  <c r="E38" i="12"/>
  <c r="E26" i="12"/>
  <c r="D9" i="2"/>
  <c r="E9" i="2" s="1"/>
  <c r="D10" i="2"/>
  <c r="E10" i="2" s="1"/>
  <c r="D11" i="2"/>
  <c r="E11" i="2" s="1"/>
  <c r="D12" i="2"/>
  <c r="E12" i="2" s="1"/>
  <c r="D13" i="2"/>
  <c r="E13" i="2" s="1"/>
  <c r="D14" i="2"/>
  <c r="E14" i="2" s="1"/>
  <c r="D15" i="2"/>
  <c r="E15" i="2" s="1"/>
  <c r="D16" i="2"/>
  <c r="E16" i="2" s="1"/>
  <c r="D17" i="2"/>
  <c r="E17" i="2" s="1"/>
  <c r="D18" i="2"/>
  <c r="E18" i="2" s="1"/>
  <c r="D19" i="2"/>
  <c r="E19" i="2" s="1"/>
  <c r="D20" i="2"/>
  <c r="E20" i="2" s="1"/>
  <c r="D21" i="2"/>
  <c r="E21" i="2" s="1"/>
  <c r="D22" i="2"/>
  <c r="E22" i="2" s="1"/>
  <c r="D23" i="2"/>
  <c r="E23" i="2" s="1"/>
  <c r="D24" i="2"/>
  <c r="E24" i="2" s="1"/>
  <c r="D25" i="2"/>
  <c r="E25" i="2" s="1"/>
  <c r="D26" i="2"/>
  <c r="E26" i="2" s="1"/>
  <c r="D27" i="2"/>
  <c r="E27" i="2" s="1"/>
  <c r="D28" i="2"/>
  <c r="E28" i="2" s="1"/>
  <c r="D29" i="2"/>
  <c r="E29" i="2" s="1"/>
  <c r="D30" i="2"/>
  <c r="E30" i="2" s="1"/>
  <c r="D31" i="2"/>
  <c r="E31" i="2" s="1"/>
  <c r="D32" i="2"/>
  <c r="E32" i="2" s="1"/>
  <c r="D33" i="2"/>
  <c r="E33" i="2" s="1"/>
  <c r="D34" i="2"/>
  <c r="E34" i="2" s="1"/>
  <c r="D35" i="2"/>
  <c r="E35" i="2" s="1"/>
  <c r="D36" i="2"/>
  <c r="E36" i="2" s="1"/>
  <c r="D37" i="2"/>
  <c r="E37" i="2" s="1"/>
  <c r="D38" i="2"/>
  <c r="E38" i="2" s="1"/>
  <c r="D39" i="2"/>
  <c r="E39" i="2" s="1"/>
  <c r="D40" i="2"/>
  <c r="E40" i="2" s="1"/>
  <c r="D41" i="2"/>
  <c r="E41" i="2" s="1"/>
  <c r="D42" i="2"/>
  <c r="E42" i="2" s="1"/>
  <c r="D8" i="2"/>
  <c r="E8" i="2" s="1"/>
  <c r="G29" i="11" l="1"/>
  <c r="G18" i="11"/>
  <c r="G17" i="11"/>
  <c r="G35" i="11"/>
  <c r="G31" i="11"/>
  <c r="G44" i="11"/>
  <c r="G28" i="11"/>
  <c r="G32" i="11"/>
  <c r="G19" i="11"/>
  <c r="G21" i="11"/>
  <c r="G25" i="12"/>
  <c r="G36" i="12"/>
  <c r="G15" i="11"/>
  <c r="G24" i="12"/>
  <c r="G37" i="12"/>
  <c r="G6" i="2"/>
  <c r="G5" i="2"/>
  <c r="G4" i="2"/>
  <c r="C6" i="2"/>
  <c r="C5" i="2"/>
  <c r="C4" i="2"/>
  <c r="G26" i="12" l="1"/>
  <c r="G38" i="12"/>
  <c r="V9" i="10" l="1"/>
  <c r="E11" i="12"/>
  <c r="E12" i="12"/>
  <c r="G9" i="11"/>
  <c r="E13" i="12" l="1"/>
  <c r="G12" i="12" s="1"/>
  <c r="G11" i="12" l="1"/>
  <c r="G13" i="12" s="1"/>
</calcChain>
</file>

<file path=xl/sharedStrings.xml><?xml version="1.0" encoding="utf-8"?>
<sst xmlns="http://schemas.openxmlformats.org/spreadsheetml/2006/main" count="438" uniqueCount="128">
  <si>
    <t>DATOS REFERENCIALES</t>
  </si>
  <si>
    <t>DISTRITO EDUCATIVO</t>
  </si>
  <si>
    <t>NÚCLEO EDUCATIVO</t>
  </si>
  <si>
    <t>UNIDAD EDUCATIVA</t>
  </si>
  <si>
    <t>DIRECTOR/A</t>
  </si>
  <si>
    <t>MAESTRO/A</t>
  </si>
  <si>
    <t>NIVEL</t>
  </si>
  <si>
    <t>AÑO DE ESCOLARIDAD</t>
  </si>
  <si>
    <t>ÁREA</t>
  </si>
  <si>
    <t>GESTIÓN</t>
  </si>
  <si>
    <t>FECHAS DE INICIO Y FINAL DE TRIMESTRE</t>
  </si>
  <si>
    <t>PRIMER TRIMESTRE</t>
  </si>
  <si>
    <t>INICIO</t>
  </si>
  <si>
    <t>FINAL</t>
  </si>
  <si>
    <t>SEGUNDO TRIMESTRE</t>
  </si>
  <si>
    <t>TERCER TRIMESTRE</t>
  </si>
  <si>
    <t>REGISTRO DE FILIACIÓN</t>
  </si>
  <si>
    <t>GRADO</t>
  </si>
  <si>
    <t>PRIMERO</t>
  </si>
  <si>
    <t>FECHA</t>
  </si>
  <si>
    <t>APELLIDOS Y NOMBRES</t>
  </si>
  <si>
    <t>NACIMIENTO</t>
  </si>
  <si>
    <t>EDAD</t>
  </si>
  <si>
    <t>LUGAR NACIMIENTO</t>
  </si>
  <si>
    <t>C.I.</t>
  </si>
  <si>
    <t>CONTROL DE ASISTENCIA 1º TRIMESTRE</t>
  </si>
  <si>
    <t>MAESTRO</t>
  </si>
  <si>
    <t>Nº</t>
  </si>
  <si>
    <t>NÓMINA DE ESTUDIANTES</t>
  </si>
  <si>
    <r>
      <t>Asist. (</t>
    </r>
    <r>
      <rPr>
        <b/>
        <sz val="10"/>
        <color rgb="FFC00000"/>
        <rFont val="Calibri"/>
        <family val="2"/>
        <scheme val="minor"/>
      </rPr>
      <t>A</t>
    </r>
    <r>
      <rPr>
        <sz val="10"/>
        <color theme="1"/>
        <rFont val="Calibri"/>
        <family val="2"/>
        <scheme val="minor"/>
      </rPr>
      <t>)</t>
    </r>
  </si>
  <si>
    <r>
      <t>Faltas (</t>
    </r>
    <r>
      <rPr>
        <b/>
        <sz val="10"/>
        <color rgb="FFC00000"/>
        <rFont val="Calibri"/>
        <family val="2"/>
        <scheme val="minor"/>
      </rPr>
      <t>F</t>
    </r>
    <r>
      <rPr>
        <sz val="10"/>
        <color theme="1"/>
        <rFont val="Calibri"/>
        <family val="2"/>
        <scheme val="minor"/>
      </rPr>
      <t>)</t>
    </r>
  </si>
  <si>
    <r>
      <t>Licencias (</t>
    </r>
    <r>
      <rPr>
        <b/>
        <sz val="10"/>
        <color rgb="FFC00000"/>
        <rFont val="Calibri"/>
        <family val="2"/>
        <scheme val="minor"/>
      </rPr>
      <t>L</t>
    </r>
    <r>
      <rPr>
        <sz val="10"/>
        <color theme="1"/>
        <rFont val="Calibri"/>
        <family val="2"/>
        <scheme val="minor"/>
      </rPr>
      <t>)</t>
    </r>
  </si>
  <si>
    <r>
      <t>Retrasos (</t>
    </r>
    <r>
      <rPr>
        <b/>
        <sz val="10"/>
        <color rgb="FFC00000"/>
        <rFont val="Calibri"/>
        <family val="2"/>
        <scheme val="minor"/>
      </rPr>
      <t>R</t>
    </r>
    <r>
      <rPr>
        <sz val="10"/>
        <color theme="1"/>
        <rFont val="Calibri"/>
        <family val="2"/>
        <scheme val="minor"/>
      </rPr>
      <t>)</t>
    </r>
  </si>
  <si>
    <t>DÍAS TRABAJADOS</t>
  </si>
  <si>
    <t>INICIO TRIMESTRE</t>
  </si>
  <si>
    <t>FIN TRIMESTRE</t>
  </si>
  <si>
    <t>FECHA ACTUAL</t>
  </si>
  <si>
    <t>Jorge Aquin</t>
  </si>
  <si>
    <t>CONTROL DE ASISTENCIA 2º TRIMESTRE</t>
  </si>
  <si>
    <t>CONTROL DE ASISTENCIA 3º TRIMESTRE</t>
  </si>
  <si>
    <t>TRIMESTRE</t>
  </si>
  <si>
    <t>REGISTRO DE VALORACIÓN 1º TRIMESTRE</t>
  </si>
  <si>
    <t>PROMEDIO</t>
  </si>
  <si>
    <t>PROM. TRIMEST.</t>
  </si>
  <si>
    <t>SITUACIÓN TRIMESTRAL DEL/A ESTUDIANTE</t>
  </si>
  <si>
    <t xml:space="preserve">CENTRALIZADOR DE CALIFICACIONES </t>
  </si>
  <si>
    <t>SUMA TOTAL</t>
  </si>
  <si>
    <t>PROMEDIO FINAL</t>
  </si>
  <si>
    <t>ESTADO ACTUAL DEL ESTUDIANTE</t>
  </si>
  <si>
    <t>APROBADOS POR TRIMESTRE</t>
  </si>
  <si>
    <t>REPROBADOS /TRIMESTRE</t>
  </si>
  <si>
    <t xml:space="preserve"> Total aprobados</t>
  </si>
  <si>
    <t>Total reprobados</t>
  </si>
  <si>
    <t>1º Trimestre</t>
  </si>
  <si>
    <t>2º Trimestre</t>
  </si>
  <si>
    <t>% 1º Trimestre</t>
  </si>
  <si>
    <t>Total estudiantes</t>
  </si>
  <si>
    <t>3º Trimestre</t>
  </si>
  <si>
    <t>% 3º Trimestre</t>
  </si>
  <si>
    <t>% 2º Trimestre</t>
  </si>
  <si>
    <t>ESTADÍSTICA DE ESTUDIANTES APROBADOS Y REPROBADOS</t>
  </si>
  <si>
    <t>BARRIO/CALLE</t>
  </si>
  <si>
    <t>PADRE/MADRE</t>
  </si>
  <si>
    <t>TELF./ CELULAR</t>
  </si>
  <si>
    <t>Unidades</t>
  </si>
  <si>
    <t>Trimestre</t>
  </si>
  <si>
    <t xml:space="preserve">Temas programados </t>
  </si>
  <si>
    <t>Temas Avanzados</t>
  </si>
  <si>
    <t>% Avance</t>
  </si>
  <si>
    <t>SEGUNDO</t>
  </si>
  <si>
    <t>TERCERO</t>
  </si>
  <si>
    <t>CUARTO</t>
  </si>
  <si>
    <t>QUINTO</t>
  </si>
  <si>
    <t>SEXTO</t>
  </si>
  <si>
    <t>AVANCE DE CONTENIDOS PROGRAMADOS</t>
  </si>
  <si>
    <t>Primero</t>
  </si>
  <si>
    <t>Segundo</t>
  </si>
  <si>
    <t>Tercero</t>
  </si>
  <si>
    <t>LUGAR</t>
  </si>
  <si>
    <t>VALORACIÓN</t>
  </si>
  <si>
    <t>ESTUDIANTE DESTACADO</t>
  </si>
  <si>
    <t>RANGOS</t>
  </si>
  <si>
    <t>ED</t>
  </si>
  <si>
    <t>DA</t>
  </si>
  <si>
    <t>DO</t>
  </si>
  <si>
    <t>DP</t>
  </si>
  <si>
    <t>SER/DECIDIR</t>
  </si>
  <si>
    <t>REGISTRO DE VALORACIÓN 2º TRIMESTRE</t>
  </si>
  <si>
    <t>En Desarrollo</t>
  </si>
  <si>
    <t>Desarrollo óptimo</t>
  </si>
  <si>
    <t>Desarrollo Pleno</t>
  </si>
  <si>
    <t>Desarrollo Aceptable</t>
  </si>
  <si>
    <t>51 a 67</t>
  </si>
  <si>
    <t>68 a 84</t>
  </si>
  <si>
    <t>85 a 100</t>
  </si>
  <si>
    <t>Retenido</t>
  </si>
  <si>
    <t>Promovido</t>
  </si>
  <si>
    <t>VALORACIÓN SEGÚN DIMENSIONES 1º TRIMESTRE</t>
  </si>
  <si>
    <t>PORCENTAJE</t>
  </si>
  <si>
    <t>EN DESARROLLO</t>
  </si>
  <si>
    <t>DESARROLLO ACEPTABLE</t>
  </si>
  <si>
    <t>DESARROLLO ÓPTIMO</t>
  </si>
  <si>
    <t>DESARROLLO PLENO</t>
  </si>
  <si>
    <t>TOTAL</t>
  </si>
  <si>
    <t xml:space="preserve">Durante el desarrollo de las actividades curriculares del Primer Trimestre, se detectaron las siguientes situaciones, respecto al aprovechamiento académico de los estudiantes de este Grado: </t>
  </si>
  <si>
    <t>ED: UN ESTUDIANTE, LO QUE REPRESENTA UN 3% DE  LA TOTALIDAD DE LOS ESTUDIANTES DEL GRADO. Demostando con esto, que el aprovechamiento de este estudiante necesita de un trato personaliozado</t>
  </si>
  <si>
    <t>DA: En esta situacion, se presentaron 3 estudiantes con desarrollo aceptable, en cuandto a sus capacidades, habilidades y posinilidades para desarrollar y mejorar sus calificaciones y su aprovechamiento en los demás trimestres.</t>
  </si>
  <si>
    <t>DO: La incidencia en este aspecto es más elevada, quedando demostrado que el estudiante promedio, es el que predomina en este grado. 20 estudiantes, lo que representa en 54% de la totalidad de los estudiantes de este año de escolaridad.</t>
  </si>
  <si>
    <t>INFORME TRIMESTRAL BASADO EN LAS DIMENSIONES</t>
  </si>
  <si>
    <t xml:space="preserve">DP: Este es el ideal que se persigue, con el nuevo enfoque del sistema de calificaciones. En este caso, el porcentaje está por debajo del DO, pero por encima del DA, demostrando así, que las potencialidades de los estudiantes puede mejorar en todos los aspectos. 13 estudiantes lograron este nivel, lo que representa un 35% de la totalidad de los estudiantes. </t>
  </si>
  <si>
    <t>PROFESOR/A</t>
  </si>
  <si>
    <t>VALORACIÓN SEGÚN DIMENSIONES 2º TRIMESTRE</t>
  </si>
  <si>
    <t>VALORACIÓN SEGÚN DIMENSIONES 3º TRIMESTRE</t>
  </si>
  <si>
    <t>3 a 50</t>
  </si>
  <si>
    <t>REGISTRO DE VALORACIÓN 3º TRIMESTRE</t>
  </si>
  <si>
    <t>TRIMESTRES</t>
  </si>
  <si>
    <t>SEGUINDO TRIMESTRE</t>
  </si>
  <si>
    <t>EVALUACIÓN DEL MAESTRO</t>
  </si>
  <si>
    <t>SER/10</t>
  </si>
  <si>
    <t>SABER/35</t>
  </si>
  <si>
    <t>HACER/35</t>
  </si>
  <si>
    <t>DECIDIR/10</t>
  </si>
  <si>
    <t>SER/5</t>
  </si>
  <si>
    <t>DECIDIR/5</t>
  </si>
  <si>
    <t>AUTOEVAL.</t>
  </si>
  <si>
    <t>1º TRIMESTRE</t>
  </si>
  <si>
    <t>2º TRIMESTRE</t>
  </si>
  <si>
    <t>3º TRIMESTRE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</si>
</sst>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42" x14ac:knownFonts="1">
    <font>
      <sz val="16"/>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color theme="1"/>
      <name val="Calibri"/>
      <family val="2"/>
      <scheme val="minor"/>
    </font>
    <font>
      <b/>
      <sz val="18"/>
      <color theme="1"/>
      <name val="Calibri"/>
      <family val="2"/>
      <scheme val="minor"/>
    </font>
    <font>
      <b/>
      <sz val="12"/>
      <color theme="9" tint="-0.499984740745262"/>
      <name val="Calibri"/>
      <family val="2"/>
      <scheme val="minor"/>
    </font>
    <font>
      <b/>
      <sz val="12"/>
      <color rgb="FFC00000"/>
      <name val="Calibri"/>
      <family val="2"/>
      <scheme val="minor"/>
    </font>
    <font>
      <b/>
      <sz val="13"/>
      <color rgb="FFC00000"/>
      <name val="Calibri"/>
      <family val="2"/>
      <scheme val="minor"/>
    </font>
    <font>
      <b/>
      <sz val="11"/>
      <color theme="9" tint="-0.499984740745262"/>
      <name val="Calibri"/>
      <family val="2"/>
      <scheme val="minor"/>
    </font>
    <font>
      <b/>
      <sz val="10"/>
      <color theme="1"/>
      <name val="Calibri"/>
      <family val="2"/>
      <scheme val="minor"/>
    </font>
    <font>
      <b/>
      <sz val="16"/>
      <color rgb="FF7030A0"/>
      <name val="Calibri"/>
      <family val="2"/>
      <scheme val="minor"/>
    </font>
    <font>
      <b/>
      <sz val="12"/>
      <color theme="1"/>
      <name val="Calibri"/>
      <family val="2"/>
      <scheme val="minor"/>
    </font>
    <font>
      <b/>
      <sz val="11"/>
      <color theme="1"/>
      <name val="Calibri"/>
      <family val="2"/>
      <scheme val="minor"/>
    </font>
    <font>
      <b/>
      <sz val="10"/>
      <color rgb="FFC00000"/>
      <name val="Calibri"/>
      <family val="2"/>
      <scheme val="minor"/>
    </font>
    <font>
      <sz val="9"/>
      <color theme="1"/>
      <name val="Calibri"/>
      <family val="2"/>
      <scheme val="minor"/>
    </font>
    <font>
      <sz val="8"/>
      <color theme="1"/>
      <name val="Calibri"/>
      <family val="2"/>
      <scheme val="minor"/>
    </font>
    <font>
      <sz val="11"/>
      <color rgb="FFC00000"/>
      <name val="Calibri"/>
      <family val="2"/>
      <scheme val="minor"/>
    </font>
    <font>
      <b/>
      <sz val="11"/>
      <color rgb="FFC00000"/>
      <name val="Calibri"/>
      <family val="2"/>
      <scheme val="minor"/>
    </font>
    <font>
      <b/>
      <sz val="8"/>
      <color theme="1"/>
      <name val="Calibri"/>
      <family val="2"/>
      <scheme val="minor"/>
    </font>
    <font>
      <b/>
      <sz val="14"/>
      <color rgb="FF7030A0"/>
      <name val="Calibri"/>
      <family val="2"/>
      <scheme val="minor"/>
    </font>
    <font>
      <sz val="24"/>
      <color rgb="FFC00000"/>
      <name val="Calibri"/>
      <family val="2"/>
      <scheme val="minor"/>
    </font>
    <font>
      <b/>
      <sz val="22"/>
      <color rgb="FFC00000"/>
      <name val="Calibri"/>
      <family val="2"/>
      <scheme val="minor"/>
    </font>
    <font>
      <b/>
      <sz val="24"/>
      <color rgb="FFC00000"/>
      <name val="Calibri"/>
      <family val="2"/>
      <scheme val="minor"/>
    </font>
    <font>
      <sz val="16"/>
      <color theme="1"/>
      <name val="Calibri"/>
      <family val="2"/>
      <scheme val="minor"/>
    </font>
    <font>
      <sz val="9"/>
      <color rgb="FFC00000"/>
      <name val="Calibri"/>
      <family val="2"/>
      <scheme val="minor"/>
    </font>
    <font>
      <b/>
      <sz val="11"/>
      <name val="Calibri"/>
      <family val="2"/>
      <scheme val="minor"/>
    </font>
    <font>
      <b/>
      <sz val="10"/>
      <color rgb="FF0070C0"/>
      <name val="Calibri"/>
      <family val="2"/>
      <scheme val="minor"/>
    </font>
    <font>
      <sz val="12"/>
      <color theme="1"/>
      <name val="Calibri"/>
      <family val="2"/>
      <scheme val="minor"/>
    </font>
    <font>
      <b/>
      <sz val="11"/>
      <color rgb="FF002060"/>
      <name val="Calibri"/>
      <family val="2"/>
      <scheme val="minor"/>
    </font>
    <font>
      <strike/>
      <sz val="11"/>
      <color theme="1"/>
      <name val="Calibri"/>
      <family val="2"/>
      <scheme val="minor"/>
    </font>
    <font>
      <b/>
      <sz val="11"/>
      <color rgb="FF7030A0"/>
      <name val="Calibri"/>
      <family val="2"/>
      <scheme val="minor"/>
    </font>
    <font>
      <sz val="14"/>
      <color rgb="FF7030A0"/>
      <name val="Calibri"/>
      <family val="2"/>
      <scheme val="minor"/>
    </font>
    <font>
      <b/>
      <sz val="9"/>
      <color rgb="FF002060"/>
      <name val="Calibri"/>
      <family val="2"/>
      <scheme val="minor"/>
    </font>
    <font>
      <b/>
      <sz val="11"/>
      <color rgb="FFFF0000"/>
      <name val="Calibri"/>
      <family val="2"/>
      <scheme val="minor"/>
    </font>
    <font>
      <sz val="14"/>
      <color theme="1"/>
      <name val="Calibri"/>
      <family val="2"/>
      <scheme val="minor"/>
    </font>
    <font>
      <b/>
      <sz val="11"/>
      <color theme="4"/>
      <name val="Calibri"/>
      <family val="2"/>
      <scheme val="minor"/>
    </font>
    <font>
      <b/>
      <sz val="16"/>
      <color theme="1"/>
      <name val="Calibri"/>
      <family val="2"/>
      <scheme val="minor"/>
    </font>
    <font>
      <b/>
      <sz val="16"/>
      <color rgb="FF000000"/>
      <name val="Calibri"/>
      <family val="2"/>
    </font>
    <font>
      <sz val="10"/>
      <color rgb="FFC00000"/>
      <name val="Calibri"/>
      <family val="2"/>
      <scheme val="minor"/>
    </font>
    <font>
      <sz val="8"/>
      <name val="Calibri"/>
      <family val="2"/>
      <scheme val="minor"/>
    </font>
  </fonts>
  <fills count="9">
    <fill>
      <patternFill patternType="none"/>
    </fill>
    <fill>
      <patternFill patternType="gray125"/>
    </fill>
    <fill>
      <patternFill patternType="solid">
        <fgColor theme="3" tint="0.79998168889431442"/>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5" tint="0.79998168889431442"/>
        <bgColor indexed="64"/>
      </patternFill>
    </fill>
    <fill>
      <patternFill patternType="solid">
        <fgColor theme="4" tint="0.79998168889431442"/>
        <bgColor indexed="64"/>
      </patternFill>
    </fill>
  </fills>
  <borders count="38">
    <border>
      <left/>
      <right/>
      <top/>
      <bottom/>
      <diagonal/>
    </border>
    <border>
      <left style="dashed">
        <color auto="1"/>
      </left>
      <right/>
      <top style="dashed">
        <color auto="1"/>
      </top>
      <bottom style="dashed">
        <color auto="1"/>
      </bottom>
      <diagonal/>
    </border>
    <border>
      <left/>
      <right/>
      <top style="dashed">
        <color auto="1"/>
      </top>
      <bottom style="dashed">
        <color auto="1"/>
      </bottom>
      <diagonal/>
    </border>
    <border>
      <left/>
      <right style="dashed">
        <color auto="1"/>
      </right>
      <top style="dashed">
        <color auto="1"/>
      </top>
      <bottom style="dashed">
        <color auto="1"/>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style="thin">
        <color auto="1"/>
      </left>
      <right style="thin">
        <color auto="1"/>
      </right>
      <top/>
      <bottom/>
      <diagonal/>
    </border>
    <border>
      <left style="thin">
        <color indexed="64"/>
      </left>
      <right/>
      <top style="medium">
        <color indexed="64"/>
      </top>
      <bottom style="thin">
        <color indexed="64"/>
      </bottom>
      <diagonal/>
    </border>
  </borders>
  <cellStyleXfs count="2">
    <xf numFmtId="0" fontId="0" fillId="0" borderId="0"/>
    <xf numFmtId="9" fontId="25" fillId="0" borderId="0" applyFont="0" applyFill="0" applyBorder="0" applyAlignment="0" applyProtection="0"/>
  </cellStyleXfs>
  <cellXfs count="290">
    <xf numFmtId="0" fontId="0" fillId="0" borderId="0" xfId="0"/>
    <xf numFmtId="0" fontId="4" fillId="0" borderId="0" xfId="0" applyFont="1"/>
    <xf numFmtId="0" fontId="5" fillId="0" borderId="0" xfId="0" applyFont="1"/>
    <xf numFmtId="0" fontId="4" fillId="0" borderId="0" xfId="0" applyFont="1" applyBorder="1"/>
    <xf numFmtId="0" fontId="5" fillId="0" borderId="0" xfId="0" applyFont="1" applyAlignment="1">
      <alignment horizontal="center" vertical="center"/>
    </xf>
    <xf numFmtId="0" fontId="11" fillId="0" borderId="0" xfId="0" applyFont="1" applyAlignment="1">
      <alignment vertical="center"/>
    </xf>
    <xf numFmtId="0" fontId="11" fillId="0" borderId="0" xfId="0" applyFont="1" applyAlignment="1">
      <alignment horizontal="left" vertical="center"/>
    </xf>
    <xf numFmtId="14" fontId="5" fillId="0" borderId="4" xfId="0" applyNumberFormat="1" applyFont="1" applyBorder="1" applyAlignment="1" applyProtection="1">
      <alignment horizontal="center" vertical="center"/>
      <protection locked="0"/>
    </xf>
    <xf numFmtId="0" fontId="5" fillId="0" borderId="11" xfId="0" applyFont="1" applyBorder="1" applyAlignment="1" applyProtection="1">
      <alignment horizontal="left" vertical="center"/>
      <protection locked="0"/>
    </xf>
    <xf numFmtId="14" fontId="5" fillId="0" borderId="11" xfId="0" applyNumberFormat="1" applyFont="1" applyBorder="1" applyAlignment="1" applyProtection="1">
      <alignment horizontal="center" vertical="center"/>
      <protection locked="0"/>
    </xf>
    <xf numFmtId="0" fontId="5" fillId="0" borderId="4" xfId="0" applyFont="1" applyBorder="1" applyProtection="1">
      <protection locked="0"/>
    </xf>
    <xf numFmtId="0" fontId="5" fillId="0" borderId="4" xfId="0" applyFont="1" applyBorder="1" applyAlignment="1" applyProtection="1">
      <alignment horizontal="center" vertical="center"/>
      <protection hidden="1"/>
    </xf>
    <xf numFmtId="0" fontId="13" fillId="0" borderId="0" xfId="0" applyFont="1"/>
    <xf numFmtId="0" fontId="14" fillId="0" borderId="0" xfId="0" applyFont="1" applyAlignment="1">
      <alignment horizontal="left" vertical="center"/>
    </xf>
    <xf numFmtId="0" fontId="14" fillId="0" borderId="0" xfId="0" applyFont="1" applyAlignment="1">
      <alignment horizontal="left" vertical="center"/>
    </xf>
    <xf numFmtId="0" fontId="5" fillId="0" borderId="12" xfId="0" applyFont="1" applyBorder="1" applyProtection="1">
      <protection locked="0"/>
    </xf>
    <xf numFmtId="0" fontId="16" fillId="0" borderId="4" xfId="0" applyFont="1" applyBorder="1" applyAlignment="1">
      <alignment horizontal="center" vertical="center"/>
    </xf>
    <xf numFmtId="0" fontId="16" fillId="0" borderId="4" xfId="0" applyFont="1" applyBorder="1" applyAlignment="1" applyProtection="1">
      <alignment horizontal="center" vertical="center"/>
      <protection hidden="1"/>
    </xf>
    <xf numFmtId="0" fontId="16" fillId="0" borderId="4" xfId="0" applyFont="1" applyBorder="1" applyAlignment="1" applyProtection="1">
      <alignment horizontal="left" vertical="center"/>
      <protection hidden="1"/>
    </xf>
    <xf numFmtId="0" fontId="14" fillId="0" borderId="0" xfId="0" applyFont="1" applyAlignment="1">
      <alignment vertical="center"/>
    </xf>
    <xf numFmtId="0" fontId="4" fillId="0" borderId="0" xfId="0" applyFont="1" applyAlignment="1">
      <alignment vertical="center"/>
    </xf>
    <xf numFmtId="14" fontId="4" fillId="0" borderId="0" xfId="0" applyNumberFormat="1" applyFont="1" applyAlignment="1">
      <alignment vertical="center"/>
    </xf>
    <xf numFmtId="0" fontId="5" fillId="0" borderId="14" xfId="0" applyFont="1" applyBorder="1" applyAlignment="1">
      <alignment horizontal="center" textRotation="90"/>
    </xf>
    <xf numFmtId="0" fontId="5" fillId="0" borderId="15" xfId="0" applyFont="1" applyBorder="1" applyAlignment="1">
      <alignment horizontal="center" textRotation="90"/>
    </xf>
    <xf numFmtId="0" fontId="17" fillId="0" borderId="16" xfId="0" applyFont="1" applyBorder="1" applyAlignment="1">
      <alignment horizontal="center" vertical="center" textRotation="90"/>
    </xf>
    <xf numFmtId="0" fontId="16" fillId="0" borderId="17" xfId="0" applyFont="1" applyBorder="1" applyAlignment="1" applyProtection="1">
      <alignment horizontal="center" vertical="center"/>
      <protection hidden="1"/>
    </xf>
    <xf numFmtId="0" fontId="16" fillId="0" borderId="18" xfId="0" applyFont="1" applyBorder="1" applyAlignment="1">
      <alignment horizontal="center" vertical="center"/>
    </xf>
    <xf numFmtId="0" fontId="14" fillId="0" borderId="0" xfId="0" applyFont="1"/>
    <xf numFmtId="0" fontId="4" fillId="0" borderId="0" xfId="0" applyFont="1" applyAlignment="1" applyProtection="1">
      <alignment vertical="center"/>
      <protection hidden="1"/>
    </xf>
    <xf numFmtId="0" fontId="4" fillId="0" borderId="0" xfId="0" applyFont="1" applyProtection="1">
      <protection hidden="1"/>
    </xf>
    <xf numFmtId="0" fontId="4" fillId="0" borderId="0" xfId="0" applyFont="1" applyAlignment="1" applyProtection="1">
      <alignment horizontal="left" vertical="center"/>
      <protection hidden="1"/>
    </xf>
    <xf numFmtId="0" fontId="14" fillId="0" borderId="0" xfId="0" applyFont="1" applyAlignment="1" applyProtection="1">
      <alignment vertical="center"/>
      <protection hidden="1"/>
    </xf>
    <xf numFmtId="0" fontId="14" fillId="0" borderId="0" xfId="0" applyFont="1" applyAlignment="1" applyProtection="1">
      <alignment horizontal="left" vertical="center"/>
      <protection hidden="1"/>
    </xf>
    <xf numFmtId="14" fontId="4" fillId="0" borderId="0" xfId="0" applyNumberFormat="1" applyFont="1" applyAlignment="1" applyProtection="1">
      <alignment horizontal="left" vertical="center"/>
      <protection hidden="1"/>
    </xf>
    <xf numFmtId="0" fontId="14" fillId="0" borderId="0" xfId="0" applyFont="1" applyAlignment="1" applyProtection="1">
      <alignment horizontal="left" vertical="center"/>
      <protection hidden="1"/>
    </xf>
    <xf numFmtId="0" fontId="18" fillId="0" borderId="0" xfId="0" applyFont="1" applyAlignment="1">
      <alignment vertical="center"/>
    </xf>
    <xf numFmtId="0" fontId="18" fillId="0" borderId="0" xfId="0" applyFont="1"/>
    <xf numFmtId="0" fontId="20" fillId="0" borderId="4" xfId="0" applyFont="1" applyBorder="1" applyAlignment="1">
      <alignment horizontal="center" vertical="center"/>
    </xf>
    <xf numFmtId="0" fontId="21" fillId="0" borderId="4" xfId="0" applyFont="1" applyBorder="1" applyAlignment="1">
      <alignment horizontal="center" vertical="center"/>
    </xf>
    <xf numFmtId="14" fontId="16" fillId="0" borderId="4" xfId="0" applyNumberFormat="1" applyFont="1" applyBorder="1" applyAlignment="1" applyProtection="1">
      <alignment horizontal="center" vertical="center" textRotation="90"/>
      <protection locked="0"/>
    </xf>
    <xf numFmtId="0" fontId="16" fillId="0" borderId="4" xfId="0" applyFont="1" applyBorder="1" applyAlignment="1" applyProtection="1">
      <alignment horizontal="center" vertical="center" textRotation="90"/>
      <protection locked="0"/>
    </xf>
    <xf numFmtId="0" fontId="16" fillId="0" borderId="13" xfId="0" applyFont="1" applyBorder="1" applyAlignment="1" applyProtection="1">
      <alignment horizontal="center" vertical="center" textRotation="90"/>
      <protection locked="0"/>
    </xf>
    <xf numFmtId="0" fontId="16" fillId="0" borderId="4" xfId="0" applyFont="1" applyBorder="1" applyAlignment="1" applyProtection="1">
      <alignment horizontal="center" vertical="center"/>
      <protection locked="0"/>
    </xf>
    <xf numFmtId="0" fontId="16" fillId="0" borderId="13" xfId="0" applyFont="1" applyBorder="1" applyAlignment="1" applyProtection="1">
      <alignment horizontal="center" vertical="center"/>
      <protection locked="0"/>
    </xf>
    <xf numFmtId="0" fontId="16" fillId="0" borderId="4" xfId="0" applyFont="1" applyBorder="1" applyProtection="1">
      <protection locked="0"/>
    </xf>
    <xf numFmtId="0" fontId="16" fillId="0" borderId="13" xfId="0" applyFont="1" applyBorder="1" applyProtection="1">
      <protection locked="0"/>
    </xf>
    <xf numFmtId="0" fontId="19" fillId="0" borderId="0" xfId="0" applyFont="1"/>
    <xf numFmtId="0" fontId="8" fillId="0" borderId="0" xfId="0" applyFont="1"/>
    <xf numFmtId="0" fontId="16" fillId="0" borderId="4" xfId="0" applyFont="1" applyBorder="1" applyAlignment="1" applyProtection="1">
      <alignment horizontal="center" vertical="center" textRotation="90"/>
      <protection hidden="1"/>
    </xf>
    <xf numFmtId="0" fontId="14" fillId="0" borderId="0" xfId="0" applyFont="1" applyAlignment="1">
      <alignment horizontal="left"/>
    </xf>
    <xf numFmtId="0" fontId="16" fillId="0" borderId="26" xfId="0" applyFont="1" applyBorder="1" applyAlignment="1" applyProtection="1">
      <alignment horizontal="center" vertical="center" textRotation="90"/>
      <protection locked="0"/>
    </xf>
    <xf numFmtId="0" fontId="16" fillId="0" borderId="0" xfId="0" applyFont="1" applyBorder="1" applyAlignment="1" applyProtection="1">
      <alignment horizontal="center" vertical="center"/>
      <protection hidden="1"/>
    </xf>
    <xf numFmtId="0" fontId="26" fillId="0" borderId="4" xfId="0" applyFont="1" applyBorder="1" applyAlignment="1" applyProtection="1">
      <alignment horizontal="center" vertical="center"/>
      <protection hidden="1"/>
    </xf>
    <xf numFmtId="0" fontId="4" fillId="0" borderId="4" xfId="0" applyFont="1" applyBorder="1" applyAlignment="1" applyProtection="1">
      <alignment horizontal="center" vertical="center"/>
      <protection hidden="1"/>
    </xf>
    <xf numFmtId="0" fontId="12" fillId="0" borderId="0" xfId="0" applyFont="1" applyAlignment="1">
      <alignment vertical="center"/>
    </xf>
    <xf numFmtId="0" fontId="4" fillId="0" borderId="0" xfId="0" applyFont="1" applyBorder="1" applyProtection="1">
      <protection hidden="1"/>
    </xf>
    <xf numFmtId="0" fontId="16" fillId="0" borderId="0" xfId="0" applyFont="1" applyBorder="1" applyAlignment="1" applyProtection="1">
      <alignment horizontal="center" vertical="center" textRotation="90"/>
      <protection hidden="1"/>
    </xf>
    <xf numFmtId="0" fontId="16" fillId="0" borderId="0" xfId="0" applyFont="1" applyBorder="1" applyProtection="1">
      <protection hidden="1"/>
    </xf>
    <xf numFmtId="14" fontId="28" fillId="0" borderId="4" xfId="0" applyNumberFormat="1" applyFont="1" applyBorder="1" applyAlignment="1" applyProtection="1">
      <alignment horizontal="center" vertical="center" textRotation="90"/>
      <protection hidden="1"/>
    </xf>
    <xf numFmtId="0" fontId="28" fillId="0" borderId="4" xfId="0" applyFont="1" applyBorder="1" applyAlignment="1" applyProtection="1">
      <alignment horizontal="center" vertical="center" textRotation="90"/>
      <protection hidden="1"/>
    </xf>
    <xf numFmtId="0" fontId="11" fillId="4" borderId="4" xfId="0" applyFont="1" applyFill="1" applyBorder="1" applyAlignment="1" applyProtection="1">
      <alignment horizontal="center" vertical="center"/>
      <protection hidden="1"/>
    </xf>
    <xf numFmtId="0" fontId="16" fillId="0" borderId="0" xfId="0" applyFont="1" applyBorder="1" applyAlignment="1" applyProtection="1">
      <alignment horizontal="left" vertical="center"/>
      <protection hidden="1"/>
    </xf>
    <xf numFmtId="0" fontId="5" fillId="0" borderId="0" xfId="0" applyFont="1" applyAlignment="1">
      <alignment vertical="center"/>
    </xf>
    <xf numFmtId="0" fontId="4" fillId="0" borderId="4" xfId="0" applyFont="1" applyBorder="1" applyAlignment="1">
      <alignment horizontal="center" vertical="center"/>
    </xf>
    <xf numFmtId="0" fontId="4" fillId="0" borderId="0" xfId="0" applyFont="1" applyAlignment="1">
      <alignment horizontal="center" vertical="center"/>
    </xf>
    <xf numFmtId="14" fontId="4" fillId="0" borderId="0" xfId="0" applyNumberFormat="1" applyFont="1" applyAlignment="1" applyProtection="1">
      <alignment vertical="center"/>
      <protection hidden="1"/>
    </xf>
    <xf numFmtId="0" fontId="4" fillId="0" borderId="0" xfId="0" applyFont="1" applyBorder="1" applyAlignment="1">
      <alignment horizontal="center" vertical="center"/>
    </xf>
    <xf numFmtId="0" fontId="30" fillId="0" borderId="0" xfId="0" applyFont="1"/>
    <xf numFmtId="0" fontId="31" fillId="0" borderId="0" xfId="0" applyFont="1" applyBorder="1" applyAlignment="1">
      <alignment horizontal="center" vertical="center"/>
    </xf>
    <xf numFmtId="0" fontId="30" fillId="0" borderId="4" xfId="0" applyFont="1" applyBorder="1" applyAlignment="1" applyProtection="1">
      <alignment horizontal="center" vertical="center"/>
      <protection hidden="1"/>
    </xf>
    <xf numFmtId="0" fontId="19" fillId="0" borderId="4" xfId="0" applyFont="1" applyBorder="1" applyAlignment="1" applyProtection="1">
      <alignment horizontal="center" vertical="center"/>
      <protection hidden="1"/>
    </xf>
    <xf numFmtId="164" fontId="4" fillId="0" borderId="0" xfId="0" applyNumberFormat="1" applyFont="1"/>
    <xf numFmtId="0" fontId="14" fillId="0" borderId="4" xfId="0" applyFont="1" applyBorder="1" applyAlignment="1" applyProtection="1">
      <alignment horizontal="center" vertical="center"/>
      <protection hidden="1"/>
    </xf>
    <xf numFmtId="9" fontId="14" fillId="0" borderId="4" xfId="0" applyNumberFormat="1" applyFont="1" applyBorder="1" applyAlignment="1" applyProtection="1">
      <alignment horizontal="center" vertical="center"/>
      <protection hidden="1"/>
    </xf>
    <xf numFmtId="9" fontId="4" fillId="0" borderId="4" xfId="1" applyFont="1" applyBorder="1" applyAlignment="1" applyProtection="1">
      <alignment horizontal="center" vertical="center"/>
      <protection hidden="1"/>
    </xf>
    <xf numFmtId="9" fontId="14" fillId="0" borderId="4" xfId="1" applyFont="1" applyBorder="1" applyAlignment="1" applyProtection="1">
      <alignment horizontal="center" vertical="center"/>
      <protection hidden="1"/>
    </xf>
    <xf numFmtId="0" fontId="4" fillId="0" borderId="0" xfId="0" applyFont="1" applyAlignment="1">
      <alignment horizontal="left"/>
    </xf>
    <xf numFmtId="0" fontId="4" fillId="0" borderId="0" xfId="0" applyFont="1" applyAlignment="1">
      <alignment horizontal="left" vertical="center"/>
    </xf>
    <xf numFmtId="14" fontId="4" fillId="0" borderId="0" xfId="0" applyNumberFormat="1" applyFont="1" applyAlignment="1">
      <alignment horizontal="left" vertical="center"/>
    </xf>
    <xf numFmtId="0" fontId="5" fillId="0" borderId="14" xfId="0" applyFont="1" applyBorder="1" applyAlignment="1">
      <alignment horizontal="center" vertical="center"/>
    </xf>
    <xf numFmtId="0" fontId="5" fillId="0" borderId="15" xfId="0" applyFont="1" applyBorder="1" applyAlignment="1">
      <alignment horizontal="center" vertical="center"/>
    </xf>
    <xf numFmtId="0" fontId="5" fillId="0" borderId="15" xfId="0" applyFont="1" applyBorder="1"/>
    <xf numFmtId="0" fontId="5" fillId="0" borderId="16" xfId="0" applyFont="1" applyBorder="1" applyAlignment="1">
      <alignment horizontal="center" vertical="center"/>
    </xf>
    <xf numFmtId="0" fontId="11" fillId="0" borderId="17" xfId="0" applyFont="1" applyBorder="1" applyAlignment="1">
      <alignment horizontal="center" vertical="center"/>
    </xf>
    <xf numFmtId="14" fontId="5" fillId="0" borderId="0" xfId="0" applyNumberFormat="1" applyFont="1" applyBorder="1"/>
    <xf numFmtId="0" fontId="5" fillId="0" borderId="18" xfId="0" applyFont="1" applyBorder="1" applyProtection="1">
      <protection locked="0"/>
    </xf>
    <xf numFmtId="0" fontId="5" fillId="0" borderId="4" xfId="0" applyFont="1" applyBorder="1" applyAlignment="1" applyProtection="1">
      <alignment horizontal="left"/>
      <protection locked="0"/>
    </xf>
    <xf numFmtId="0" fontId="4" fillId="5" borderId="0" xfId="0" applyFont="1" applyFill="1"/>
    <xf numFmtId="0" fontId="6" fillId="5" borderId="0" xfId="0" applyFont="1" applyFill="1" applyAlignment="1">
      <alignment horizontal="center" vertical="center"/>
    </xf>
    <xf numFmtId="0" fontId="7" fillId="5" borderId="0" xfId="0" applyFont="1" applyFill="1" applyAlignment="1">
      <alignment horizontal="right" vertical="center"/>
    </xf>
    <xf numFmtId="0" fontId="4" fillId="5" borderId="0" xfId="0" applyFont="1" applyFill="1" applyBorder="1" applyAlignment="1" applyProtection="1">
      <alignment horizontal="left" vertical="center"/>
      <protection locked="0"/>
    </xf>
    <xf numFmtId="0" fontId="4" fillId="5" borderId="0" xfId="0" applyFont="1" applyFill="1" applyAlignment="1">
      <alignment horizontal="right" vertical="center"/>
    </xf>
    <xf numFmtId="0" fontId="17" fillId="5" borderId="0" xfId="0" applyFont="1" applyFill="1" applyAlignment="1">
      <alignment horizontal="right" vertical="center"/>
    </xf>
    <xf numFmtId="14" fontId="4" fillId="0" borderId="4" xfId="0" applyNumberFormat="1" applyFont="1" applyFill="1" applyBorder="1" applyAlignment="1" applyProtection="1">
      <alignment horizontal="center" vertical="center"/>
      <protection locked="0"/>
    </xf>
    <xf numFmtId="164" fontId="29" fillId="0" borderId="0" xfId="0" applyNumberFormat="1" applyFont="1"/>
    <xf numFmtId="164" fontId="4" fillId="0" borderId="4" xfId="0" applyNumberFormat="1" applyFont="1" applyBorder="1"/>
    <xf numFmtId="1" fontId="29" fillId="0" borderId="4" xfId="0" applyNumberFormat="1" applyFont="1" applyBorder="1" applyAlignment="1" applyProtection="1">
      <alignment horizontal="center" vertical="center"/>
      <protection locked="0"/>
    </xf>
    <xf numFmtId="164" fontId="4" fillId="0" borderId="4" xfId="0" applyNumberFormat="1" applyFont="1" applyBorder="1" applyProtection="1">
      <protection hidden="1"/>
    </xf>
    <xf numFmtId="164" fontId="14" fillId="0" borderId="4" xfId="0" applyNumberFormat="1" applyFont="1" applyBorder="1" applyAlignment="1">
      <alignment horizontal="center" vertical="center"/>
    </xf>
    <xf numFmtId="164" fontId="14" fillId="0" borderId="4" xfId="0" applyNumberFormat="1" applyFont="1" applyBorder="1"/>
    <xf numFmtId="1" fontId="14" fillId="0" borderId="4" xfId="0" applyNumberFormat="1" applyFont="1" applyBorder="1" applyAlignment="1" applyProtection="1">
      <alignment horizontal="center"/>
      <protection hidden="1"/>
    </xf>
    <xf numFmtId="1" fontId="14" fillId="0" borderId="4" xfId="0" applyNumberFormat="1" applyFont="1" applyBorder="1" applyAlignment="1" applyProtection="1">
      <alignment horizontal="center" vertical="center"/>
      <protection hidden="1"/>
    </xf>
    <xf numFmtId="164" fontId="29" fillId="0" borderId="0" xfId="0" applyNumberFormat="1" applyFont="1" applyAlignment="1" applyProtection="1">
      <alignment horizontal="left" vertical="center"/>
      <protection hidden="1"/>
    </xf>
    <xf numFmtId="164" fontId="13" fillId="0" borderId="0" xfId="0" applyNumberFormat="1" applyFont="1" applyAlignment="1" applyProtection="1">
      <alignment horizontal="left" vertical="center"/>
      <protection hidden="1"/>
    </xf>
    <xf numFmtId="164" fontId="29" fillId="0" borderId="4" xfId="0" applyNumberFormat="1" applyFont="1" applyBorder="1" applyAlignment="1" applyProtection="1">
      <alignment vertical="center"/>
      <protection hidden="1"/>
    </xf>
    <xf numFmtId="1" fontId="4" fillId="0" borderId="4" xfId="0" applyNumberFormat="1" applyFont="1" applyBorder="1" applyAlignment="1" applyProtection="1">
      <alignment horizontal="center" vertical="center"/>
      <protection locked="0"/>
    </xf>
    <xf numFmtId="1" fontId="14" fillId="0" borderId="4" xfId="0" applyNumberFormat="1" applyFont="1" applyBorder="1" applyAlignment="1">
      <alignment horizontal="center" vertical="center"/>
    </xf>
    <xf numFmtId="1" fontId="5" fillId="0" borderId="0" xfId="0" applyNumberFormat="1" applyFont="1"/>
    <xf numFmtId="1" fontId="5" fillId="0" borderId="0" xfId="0" applyNumberFormat="1" applyFont="1" applyBorder="1"/>
    <xf numFmtId="1" fontId="5" fillId="0" borderId="0" xfId="0" applyNumberFormat="1" applyFont="1" applyBorder="1" applyAlignment="1">
      <alignment vertical="center"/>
    </xf>
    <xf numFmtId="1" fontId="5" fillId="0" borderId="0" xfId="0" applyNumberFormat="1" applyFont="1" applyBorder="1" applyAlignment="1"/>
    <xf numFmtId="1" fontId="5" fillId="0" borderId="0" xfId="0" applyNumberFormat="1" applyFont="1" applyAlignment="1">
      <alignment horizontal="center"/>
    </xf>
    <xf numFmtId="14" fontId="29" fillId="0" borderId="0" xfId="0" applyNumberFormat="1" applyFont="1" applyAlignment="1" applyProtection="1">
      <alignment horizontal="left" vertical="center"/>
      <protection hidden="1"/>
    </xf>
    <xf numFmtId="1" fontId="32" fillId="0" borderId="37" xfId="0" applyNumberFormat="1" applyFont="1" applyBorder="1" applyAlignment="1">
      <alignment horizontal="center" vertical="center"/>
    </xf>
    <xf numFmtId="1" fontId="32" fillId="0" borderId="16" xfId="0" applyNumberFormat="1" applyFont="1" applyBorder="1" applyAlignment="1">
      <alignment horizontal="center" vertical="center"/>
    </xf>
    <xf numFmtId="0" fontId="4" fillId="0" borderId="0" xfId="0" applyNumberFormat="1" applyFont="1" applyAlignment="1" applyProtection="1">
      <alignment horizontal="left" vertical="center"/>
      <protection hidden="1"/>
    </xf>
    <xf numFmtId="0" fontId="5" fillId="0" borderId="0" xfId="0" applyNumberFormat="1" applyFont="1" applyProtection="1">
      <protection hidden="1"/>
    </xf>
    <xf numFmtId="0" fontId="11" fillId="0" borderId="0" xfId="0" applyNumberFormat="1" applyFont="1" applyProtection="1">
      <protection hidden="1"/>
    </xf>
    <xf numFmtId="0" fontId="4" fillId="0" borderId="0" xfId="0" applyNumberFormat="1" applyFont="1" applyProtection="1">
      <protection hidden="1"/>
    </xf>
    <xf numFmtId="1" fontId="5" fillId="0" borderId="0" xfId="0" applyNumberFormat="1" applyFont="1" applyProtection="1">
      <protection hidden="1"/>
    </xf>
    <xf numFmtId="2" fontId="5" fillId="0" borderId="18" xfId="0" applyNumberFormat="1" applyFont="1" applyBorder="1" applyAlignment="1" applyProtection="1">
      <alignment horizontal="center" vertical="center"/>
      <protection hidden="1"/>
    </xf>
    <xf numFmtId="1" fontId="5" fillId="0" borderId="18" xfId="0" applyNumberFormat="1" applyFont="1" applyBorder="1" applyAlignment="1" applyProtection="1">
      <alignment horizontal="center" vertical="center"/>
      <protection hidden="1"/>
    </xf>
    <xf numFmtId="1" fontId="5" fillId="0" borderId="21" xfId="0" applyNumberFormat="1" applyFont="1" applyBorder="1" applyAlignment="1" applyProtection="1">
      <alignment horizontal="center" vertical="center"/>
      <protection hidden="1"/>
    </xf>
    <xf numFmtId="1" fontId="4" fillId="0" borderId="4" xfId="0" applyNumberFormat="1" applyFont="1" applyBorder="1" applyAlignment="1" applyProtection="1">
      <alignment horizontal="left"/>
      <protection hidden="1"/>
    </xf>
    <xf numFmtId="1" fontId="5" fillId="0" borderId="4" xfId="0" applyNumberFormat="1" applyFont="1" applyBorder="1" applyProtection="1">
      <protection hidden="1"/>
    </xf>
    <xf numFmtId="1" fontId="5" fillId="0" borderId="20" xfId="0" applyNumberFormat="1" applyFont="1" applyBorder="1" applyProtection="1">
      <protection hidden="1"/>
    </xf>
    <xf numFmtId="0" fontId="4" fillId="6" borderId="33" xfId="0" applyFont="1" applyFill="1" applyBorder="1"/>
    <xf numFmtId="0" fontId="4" fillId="6" borderId="34" xfId="0" applyFont="1" applyFill="1" applyBorder="1"/>
    <xf numFmtId="0" fontId="4" fillId="6" borderId="35" xfId="0" applyFont="1" applyFill="1" applyBorder="1"/>
    <xf numFmtId="0" fontId="4" fillId="6" borderId="32" xfId="0" applyFont="1" applyFill="1" applyBorder="1"/>
    <xf numFmtId="0" fontId="4" fillId="6" borderId="0" xfId="0" applyFont="1" applyFill="1" applyBorder="1"/>
    <xf numFmtId="0" fontId="4" fillId="6" borderId="31" xfId="0" applyFont="1" applyFill="1" applyBorder="1"/>
    <xf numFmtId="0" fontId="10" fillId="6" borderId="0" xfId="0" applyFont="1" applyFill="1" applyBorder="1" applyAlignment="1">
      <alignment horizontal="center" vertical="center"/>
    </xf>
    <xf numFmtId="0" fontId="4" fillId="6" borderId="28" xfId="0" applyFont="1" applyFill="1" applyBorder="1"/>
    <xf numFmtId="0" fontId="4" fillId="6" borderId="29" xfId="0" applyFont="1" applyFill="1" applyBorder="1"/>
    <xf numFmtId="0" fontId="4" fillId="6" borderId="30" xfId="0" applyFont="1" applyFill="1" applyBorder="1"/>
    <xf numFmtId="0" fontId="16" fillId="5" borderId="0" xfId="0" applyFont="1" applyFill="1" applyAlignment="1">
      <alignment horizontal="center" vertical="center"/>
    </xf>
    <xf numFmtId="0" fontId="34" fillId="7" borderId="4" xfId="0" applyFont="1" applyFill="1" applyBorder="1" applyAlignment="1" applyProtection="1">
      <alignment horizontal="center" vertical="center"/>
      <protection hidden="1"/>
    </xf>
    <xf numFmtId="0" fontId="16" fillId="0" borderId="4" xfId="0" applyNumberFormat="1" applyFont="1" applyBorder="1" applyAlignment="1" applyProtection="1">
      <alignment vertical="center"/>
      <protection hidden="1"/>
    </xf>
    <xf numFmtId="0" fontId="4" fillId="0" borderId="0" xfId="0" applyFont="1" applyAlignment="1" applyProtection="1">
      <alignment horizontal="left"/>
      <protection hidden="1"/>
    </xf>
    <xf numFmtId="1" fontId="11" fillId="3" borderId="4" xfId="0" applyNumberFormat="1" applyFont="1" applyFill="1" applyBorder="1" applyAlignment="1" applyProtection="1">
      <alignment horizontal="center" vertical="center"/>
      <protection hidden="1"/>
    </xf>
    <xf numFmtId="1" fontId="4" fillId="0" borderId="0" xfId="0" applyNumberFormat="1" applyFont="1"/>
    <xf numFmtId="1" fontId="4" fillId="0" borderId="4" xfId="0" applyNumberFormat="1" applyFont="1" applyBorder="1" applyAlignment="1">
      <alignment horizontal="center" vertical="center"/>
    </xf>
    <xf numFmtId="1" fontId="4" fillId="0" borderId="0" xfId="0" applyNumberFormat="1" applyFont="1" applyAlignment="1">
      <alignment horizontal="left" vertical="center"/>
    </xf>
    <xf numFmtId="1" fontId="4" fillId="0" borderId="4" xfId="0" applyNumberFormat="1" applyFont="1" applyBorder="1"/>
    <xf numFmtId="1" fontId="4" fillId="0" borderId="4" xfId="0" applyNumberFormat="1" applyFont="1" applyBorder="1" applyAlignment="1">
      <alignment vertical="center"/>
    </xf>
    <xf numFmtId="1" fontId="14" fillId="0" borderId="0" xfId="0" applyNumberFormat="1" applyFont="1" applyAlignment="1">
      <alignment horizontal="left" vertical="center"/>
    </xf>
    <xf numFmtId="1" fontId="4" fillId="0" borderId="4" xfId="0" applyNumberFormat="1" applyFont="1" applyBorder="1" applyProtection="1">
      <protection hidden="1"/>
    </xf>
    <xf numFmtId="1" fontId="4" fillId="0" borderId="4" xfId="0" applyNumberFormat="1" applyFont="1" applyBorder="1" applyAlignment="1" applyProtection="1">
      <alignment horizontal="center" vertical="center"/>
      <protection hidden="1"/>
    </xf>
    <xf numFmtId="1" fontId="37" fillId="0" borderId="4" xfId="0" applyNumberFormat="1" applyFont="1" applyBorder="1" applyProtection="1">
      <protection hidden="1"/>
    </xf>
    <xf numFmtId="1" fontId="37" fillId="0" borderId="4" xfId="0" applyNumberFormat="1" applyFont="1" applyBorder="1" applyAlignment="1" applyProtection="1">
      <alignment horizontal="left" vertical="center"/>
      <protection hidden="1"/>
    </xf>
    <xf numFmtId="1" fontId="27" fillId="0" borderId="4" xfId="0" applyNumberFormat="1" applyFont="1" applyBorder="1" applyAlignment="1" applyProtection="1">
      <alignment horizontal="left" vertical="center"/>
      <protection hidden="1"/>
    </xf>
    <xf numFmtId="1" fontId="11" fillId="0" borderId="0" xfId="0" applyNumberFormat="1" applyFont="1" applyAlignment="1">
      <alignment horizontal="left" vertical="center"/>
    </xf>
    <xf numFmtId="1" fontId="4" fillId="0" borderId="0" xfId="0" applyNumberFormat="1" applyFont="1" applyBorder="1" applyAlignment="1" applyProtection="1">
      <alignment vertical="top" wrapText="1"/>
      <protection locked="0"/>
    </xf>
    <xf numFmtId="1" fontId="4" fillId="0" borderId="0" xfId="0" applyNumberFormat="1" applyFont="1" applyBorder="1" applyAlignment="1" applyProtection="1">
      <alignment vertical="top" wrapText="1"/>
      <protection hidden="1"/>
    </xf>
    <xf numFmtId="1" fontId="4" fillId="0" borderId="23" xfId="0" applyNumberFormat="1" applyFont="1" applyBorder="1" applyAlignment="1" applyProtection="1">
      <alignment horizontal="center" vertical="center"/>
      <protection hidden="1"/>
    </xf>
    <xf numFmtId="0" fontId="38" fillId="0" borderId="0" xfId="0" applyFont="1" applyAlignment="1">
      <alignment horizontal="left" vertical="center"/>
    </xf>
    <xf numFmtId="0" fontId="38" fillId="0" borderId="0" xfId="0" applyFont="1" applyBorder="1" applyAlignment="1">
      <alignment horizontal="left" vertical="center"/>
    </xf>
    <xf numFmtId="0" fontId="14" fillId="0" borderId="0" xfId="0" applyFont="1" applyBorder="1" applyAlignment="1">
      <alignment horizontal="left" vertical="center"/>
    </xf>
    <xf numFmtId="0" fontId="16" fillId="0" borderId="4" xfId="0" applyFont="1" applyBorder="1" applyAlignment="1" applyProtection="1">
      <alignment horizontal="center" vertical="center"/>
      <protection hidden="1"/>
    </xf>
    <xf numFmtId="0" fontId="5" fillId="0" borderId="4" xfId="0" applyFont="1" applyBorder="1" applyAlignment="1" applyProtection="1">
      <alignment horizontal="center" vertical="center"/>
      <protection locked="0"/>
    </xf>
    <xf numFmtId="0" fontId="15" fillId="2" borderId="4" xfId="0" applyFont="1" applyFill="1" applyBorder="1" applyAlignment="1" applyProtection="1">
      <alignment horizontal="center" vertical="center"/>
      <protection hidden="1"/>
    </xf>
    <xf numFmtId="0" fontId="5" fillId="0" borderId="4" xfId="0" applyFont="1" applyBorder="1" applyAlignment="1" applyProtection="1">
      <alignment horizontal="left" vertical="center"/>
      <protection hidden="1"/>
    </xf>
    <xf numFmtId="0" fontId="0" fillId="4" borderId="0" xfId="0" applyFill="1"/>
    <xf numFmtId="0" fontId="14" fillId="4" borderId="0" xfId="0" applyFont="1" applyFill="1" applyAlignment="1">
      <alignment horizontal="left" vertical="center"/>
    </xf>
    <xf numFmtId="0" fontId="13" fillId="4" borderId="0" xfId="0" applyFont="1" applyFill="1"/>
    <xf numFmtId="0" fontId="4" fillId="4" borderId="0" xfId="0" applyFont="1" applyFill="1" applyAlignment="1" applyProtection="1">
      <alignment horizontal="left" vertical="center"/>
      <protection hidden="1"/>
    </xf>
    <xf numFmtId="0" fontId="4" fillId="4" borderId="0" xfId="0" applyFont="1" applyFill="1" applyProtection="1">
      <protection hidden="1"/>
    </xf>
    <xf numFmtId="0" fontId="14" fillId="4" borderId="0" xfId="0" applyFont="1" applyFill="1" applyAlignment="1" applyProtection="1">
      <alignment vertical="center"/>
      <protection hidden="1"/>
    </xf>
    <xf numFmtId="0" fontId="14" fillId="4" borderId="0" xfId="0" applyFont="1" applyFill="1" applyAlignment="1">
      <alignment vertical="center"/>
    </xf>
    <xf numFmtId="0" fontId="4" fillId="4" borderId="0" xfId="0" applyFont="1" applyFill="1" applyAlignment="1">
      <alignment vertical="center"/>
    </xf>
    <xf numFmtId="0" fontId="4" fillId="4" borderId="0" xfId="0" applyFont="1" applyFill="1" applyAlignment="1" applyProtection="1">
      <alignment vertical="center"/>
      <protection hidden="1"/>
    </xf>
    <xf numFmtId="0" fontId="4" fillId="4" borderId="0" xfId="0" applyFont="1" applyFill="1"/>
    <xf numFmtId="0" fontId="14" fillId="4" borderId="0" xfId="0" applyFont="1" applyFill="1" applyAlignment="1" applyProtection="1">
      <alignment horizontal="left" vertical="center"/>
      <protection hidden="1"/>
    </xf>
    <xf numFmtId="14" fontId="4" fillId="4" borderId="0" xfId="0" applyNumberFormat="1" applyFont="1" applyFill="1" applyAlignment="1">
      <alignment vertical="center"/>
    </xf>
    <xf numFmtId="0" fontId="18" fillId="4" borderId="0" xfId="0" applyFont="1" applyFill="1" applyBorder="1" applyAlignment="1">
      <alignment horizontal="center" vertical="center"/>
    </xf>
    <xf numFmtId="0" fontId="18" fillId="4" borderId="25" xfId="0" applyFont="1" applyFill="1" applyBorder="1" applyAlignment="1">
      <alignment horizontal="center" vertical="center"/>
    </xf>
    <xf numFmtId="14" fontId="19" fillId="4" borderId="0" xfId="0" applyNumberFormat="1" applyFont="1" applyFill="1" applyAlignment="1">
      <alignment horizontal="left" vertical="center"/>
    </xf>
    <xf numFmtId="0" fontId="19" fillId="4" borderId="0" xfId="0" applyFont="1" applyFill="1" applyAlignment="1">
      <alignment horizontal="left" vertical="center"/>
    </xf>
    <xf numFmtId="0" fontId="24" fillId="4" borderId="0" xfId="0" applyFont="1" applyFill="1" applyBorder="1" applyAlignment="1">
      <alignment horizontal="center" vertical="center" wrapText="1"/>
    </xf>
    <xf numFmtId="0" fontId="8" fillId="4" borderId="0" xfId="0" applyFont="1" applyFill="1" applyBorder="1"/>
    <xf numFmtId="0" fontId="4" fillId="4" borderId="0" xfId="0" applyFont="1" applyFill="1" applyBorder="1"/>
    <xf numFmtId="0" fontId="0" fillId="4" borderId="0" xfId="0" applyFill="1" applyBorder="1"/>
    <xf numFmtId="0" fontId="5" fillId="4" borderId="0" xfId="0" applyFont="1" applyFill="1" applyBorder="1" applyAlignment="1">
      <alignment horizontal="center" textRotation="90"/>
    </xf>
    <xf numFmtId="0" fontId="17" fillId="4" borderId="0" xfId="0" applyFont="1" applyFill="1" applyBorder="1" applyAlignment="1">
      <alignment horizontal="center" vertical="center" textRotation="90"/>
    </xf>
    <xf numFmtId="0" fontId="16" fillId="4" borderId="0" xfId="0" applyFont="1" applyFill="1" applyBorder="1" applyAlignment="1" applyProtection="1">
      <alignment horizontal="center" vertical="center"/>
      <protection hidden="1"/>
    </xf>
    <xf numFmtId="0" fontId="16" fillId="4" borderId="0" xfId="0" applyFont="1" applyFill="1" applyBorder="1" applyAlignment="1">
      <alignment horizontal="center" vertical="center"/>
    </xf>
    <xf numFmtId="0" fontId="0" fillId="0" borderId="0" xfId="0" applyFill="1"/>
    <xf numFmtId="0" fontId="12" fillId="0" borderId="0" xfId="0" applyFont="1" applyFill="1" applyAlignment="1">
      <alignment vertical="center"/>
    </xf>
    <xf numFmtId="9" fontId="3" fillId="0" borderId="4" xfId="1" applyFont="1" applyBorder="1" applyAlignment="1" applyProtection="1">
      <alignment horizontal="center" vertical="center"/>
      <protection hidden="1"/>
    </xf>
    <xf numFmtId="0" fontId="16" fillId="0" borderId="0" xfId="0" applyFont="1" applyAlignment="1">
      <alignment horizontal="center" vertical="center" textRotation="90"/>
    </xf>
    <xf numFmtId="0" fontId="4" fillId="0" borderId="1" xfId="0" applyFont="1" applyFill="1" applyBorder="1" applyAlignment="1" applyProtection="1">
      <alignment horizontal="left" vertical="center"/>
      <protection locked="0"/>
    </xf>
    <xf numFmtId="0" fontId="4" fillId="0" borderId="2" xfId="0" applyFont="1" applyFill="1" applyBorder="1" applyAlignment="1" applyProtection="1">
      <alignment horizontal="left" vertical="center"/>
      <protection locked="0"/>
    </xf>
    <xf numFmtId="0" fontId="4" fillId="0" borderId="3" xfId="0" applyFont="1" applyFill="1" applyBorder="1" applyAlignment="1" applyProtection="1">
      <alignment horizontal="left" vertical="center"/>
      <protection locked="0"/>
    </xf>
    <xf numFmtId="0" fontId="9" fillId="6" borderId="0" xfId="0" applyFont="1" applyFill="1" applyBorder="1" applyAlignment="1">
      <alignment horizontal="center" vertical="center" wrapText="1"/>
    </xf>
    <xf numFmtId="0" fontId="8" fillId="0" borderId="0" xfId="0" applyFont="1" applyFill="1" applyBorder="1" applyAlignment="1">
      <alignment horizontal="center"/>
    </xf>
    <xf numFmtId="0" fontId="8" fillId="0" borderId="0" xfId="0" applyFont="1" applyFill="1" applyBorder="1" applyAlignment="1">
      <alignment horizontal="center" vertical="center"/>
    </xf>
    <xf numFmtId="0" fontId="6" fillId="5" borderId="0" xfId="0" applyFont="1" applyFill="1" applyAlignment="1">
      <alignment horizontal="center" vertical="center"/>
    </xf>
    <xf numFmtId="0" fontId="12" fillId="0" borderId="0" xfId="0" applyFont="1" applyAlignment="1">
      <alignment horizontal="center" vertical="center"/>
    </xf>
    <xf numFmtId="0" fontId="5" fillId="0" borderId="0" xfId="0" applyFont="1" applyAlignment="1">
      <alignment horizontal="left" vertical="center"/>
    </xf>
    <xf numFmtId="14" fontId="5" fillId="0" borderId="0" xfId="0" applyNumberFormat="1" applyFont="1" applyAlignment="1">
      <alignment horizontal="left" vertical="center"/>
    </xf>
    <xf numFmtId="0" fontId="14" fillId="0" borderId="12" xfId="0" applyFont="1" applyBorder="1" applyAlignment="1">
      <alignment horizontal="center" vertical="center"/>
    </xf>
    <xf numFmtId="0" fontId="22" fillId="0" borderId="5" xfId="0" applyFont="1" applyBorder="1" applyAlignment="1" applyProtection="1">
      <alignment horizontal="center" vertical="center" wrapText="1"/>
      <protection hidden="1"/>
    </xf>
    <xf numFmtId="0" fontId="22" fillId="0" borderId="6" xfId="0" applyFont="1" applyBorder="1" applyAlignment="1" applyProtection="1">
      <alignment horizontal="center" vertical="center" wrapText="1"/>
      <protection hidden="1"/>
    </xf>
    <xf numFmtId="0" fontId="22" fillId="0" borderId="7" xfId="0" applyFont="1" applyBorder="1" applyAlignment="1" applyProtection="1">
      <alignment horizontal="center" vertical="center" wrapText="1"/>
      <protection hidden="1"/>
    </xf>
    <xf numFmtId="0" fontId="22" fillId="0" borderId="8" xfId="0" applyFont="1" applyBorder="1" applyAlignment="1" applyProtection="1">
      <alignment horizontal="center" vertical="center" wrapText="1"/>
      <protection hidden="1"/>
    </xf>
    <xf numFmtId="0" fontId="22" fillId="0" borderId="9" xfId="0" applyFont="1" applyBorder="1" applyAlignment="1" applyProtection="1">
      <alignment horizontal="center" vertical="center" wrapText="1"/>
      <protection hidden="1"/>
    </xf>
    <xf numFmtId="0" fontId="22" fillId="0" borderId="10" xfId="0" applyFont="1" applyBorder="1" applyAlignment="1" applyProtection="1">
      <alignment horizontal="center" vertical="center" wrapText="1"/>
      <protection hidden="1"/>
    </xf>
    <xf numFmtId="14" fontId="4" fillId="0" borderId="0" xfId="0" applyNumberFormat="1" applyFont="1" applyAlignment="1" applyProtection="1">
      <alignment horizontal="center" vertical="center"/>
      <protection hidden="1"/>
    </xf>
    <xf numFmtId="14" fontId="14" fillId="0" borderId="0" xfId="0" applyNumberFormat="1" applyFont="1" applyAlignment="1" applyProtection="1">
      <alignment horizontal="left" vertical="center"/>
      <protection hidden="1"/>
    </xf>
    <xf numFmtId="0" fontId="14" fillId="0" borderId="0" xfId="0" applyFont="1" applyAlignment="1" applyProtection="1">
      <alignment horizontal="left" vertical="center"/>
      <protection hidden="1"/>
    </xf>
    <xf numFmtId="14" fontId="19" fillId="0" borderId="0" xfId="0" applyNumberFormat="1" applyFont="1" applyAlignment="1">
      <alignment horizontal="left" vertical="center"/>
    </xf>
    <xf numFmtId="0" fontId="19" fillId="0" borderId="0" xfId="0" applyFont="1" applyAlignment="1">
      <alignment horizontal="left" vertical="center"/>
    </xf>
    <xf numFmtId="14" fontId="4" fillId="0" borderId="0" xfId="0" applyNumberFormat="1" applyFont="1" applyAlignment="1" applyProtection="1">
      <alignment horizontal="left" vertical="center"/>
      <protection hidden="1"/>
    </xf>
    <xf numFmtId="0" fontId="14" fillId="0" borderId="22" xfId="0" applyFont="1" applyBorder="1" applyAlignment="1" applyProtection="1">
      <alignment horizontal="center" vertical="center"/>
      <protection hidden="1"/>
    </xf>
    <xf numFmtId="0" fontId="14" fillId="0" borderId="23" xfId="0" applyFont="1" applyBorder="1" applyAlignment="1" applyProtection="1">
      <alignment horizontal="center" vertical="center"/>
      <protection hidden="1"/>
    </xf>
    <xf numFmtId="0" fontId="14" fillId="0" borderId="24" xfId="0" applyFont="1" applyBorder="1" applyAlignment="1" applyProtection="1">
      <alignment horizontal="center" vertical="center"/>
      <protection hidden="1"/>
    </xf>
    <xf numFmtId="0" fontId="23" fillId="0" borderId="5" xfId="0" applyFont="1" applyBorder="1" applyAlignment="1">
      <alignment horizontal="center" vertical="center"/>
    </xf>
    <xf numFmtId="0" fontId="23" fillId="0" borderId="6" xfId="0" applyFont="1" applyBorder="1" applyAlignment="1">
      <alignment horizontal="center" vertical="center"/>
    </xf>
    <xf numFmtId="0" fontId="23" fillId="0" borderId="7" xfId="0" applyFont="1" applyBorder="1" applyAlignment="1">
      <alignment horizontal="center" vertical="center"/>
    </xf>
    <xf numFmtId="0" fontId="23" fillId="0" borderId="8" xfId="0" applyFont="1" applyBorder="1" applyAlignment="1">
      <alignment horizontal="center" vertical="center"/>
    </xf>
    <xf numFmtId="0" fontId="23" fillId="0" borderId="9" xfId="0" applyFont="1" applyBorder="1" applyAlignment="1">
      <alignment horizontal="center" vertical="center"/>
    </xf>
    <xf numFmtId="0" fontId="23" fillId="0" borderId="10" xfId="0" applyFont="1" applyBorder="1" applyAlignment="1">
      <alignment horizontal="center" vertical="center"/>
    </xf>
    <xf numFmtId="0" fontId="14" fillId="0" borderId="0" xfId="0" applyFont="1" applyAlignment="1">
      <alignment horizontal="center" vertical="center"/>
    </xf>
    <xf numFmtId="0" fontId="24" fillId="0" borderId="5" xfId="0" applyFont="1" applyBorder="1" applyAlignment="1">
      <alignment horizontal="center" vertical="center" wrapText="1"/>
    </xf>
    <xf numFmtId="0" fontId="24" fillId="0" borderId="6" xfId="0" applyFont="1" applyBorder="1" applyAlignment="1">
      <alignment horizontal="center" vertical="center" wrapText="1"/>
    </xf>
    <xf numFmtId="0" fontId="24" fillId="0" borderId="7" xfId="0" applyFont="1" applyBorder="1" applyAlignment="1">
      <alignment horizontal="center" vertical="center" wrapText="1"/>
    </xf>
    <xf numFmtId="0" fontId="24" fillId="0" borderId="8" xfId="0" applyFont="1" applyBorder="1" applyAlignment="1">
      <alignment horizontal="center" vertical="center" wrapText="1"/>
    </xf>
    <xf numFmtId="0" fontId="24" fillId="0" borderId="9" xfId="0" applyFont="1" applyBorder="1" applyAlignment="1">
      <alignment horizontal="center" vertical="center" wrapText="1"/>
    </xf>
    <xf numFmtId="0" fontId="24" fillId="0" borderId="10" xfId="0" applyFont="1" applyBorder="1" applyAlignment="1">
      <alignment horizontal="center" vertical="center" wrapText="1"/>
    </xf>
    <xf numFmtId="0" fontId="26" fillId="0" borderId="4" xfId="0" applyFont="1" applyBorder="1" applyAlignment="1" applyProtection="1">
      <alignment horizontal="center" vertical="center"/>
      <protection hidden="1"/>
    </xf>
    <xf numFmtId="0" fontId="16" fillId="0" borderId="4" xfId="0" applyFont="1" applyBorder="1" applyAlignment="1" applyProtection="1">
      <alignment horizontal="center" vertical="center"/>
      <protection hidden="1"/>
    </xf>
    <xf numFmtId="0" fontId="16" fillId="0" borderId="4" xfId="0" applyNumberFormat="1" applyFont="1" applyBorder="1" applyAlignment="1" applyProtection="1">
      <alignment horizontal="center" vertical="center"/>
      <protection hidden="1"/>
    </xf>
    <xf numFmtId="14" fontId="3" fillId="0" borderId="0" xfId="0" applyNumberFormat="1" applyFont="1" applyFill="1" applyAlignment="1" applyProtection="1">
      <alignment horizontal="left" vertical="center"/>
      <protection hidden="1"/>
    </xf>
    <xf numFmtId="0" fontId="3" fillId="0" borderId="0" xfId="0" applyFont="1" applyFill="1" applyAlignment="1" applyProtection="1">
      <alignment horizontal="left" vertical="center"/>
      <protection hidden="1"/>
    </xf>
    <xf numFmtId="0" fontId="19" fillId="0" borderId="4" xfId="0" applyFont="1" applyBorder="1" applyAlignment="1">
      <alignment horizontal="center" wrapText="1"/>
    </xf>
    <xf numFmtId="0" fontId="14" fillId="7" borderId="12" xfId="0" applyFont="1" applyFill="1" applyBorder="1" applyAlignment="1" applyProtection="1">
      <alignment horizontal="center" textRotation="90"/>
      <protection hidden="1"/>
    </xf>
    <xf numFmtId="0" fontId="14" fillId="7" borderId="11" xfId="0" applyFont="1" applyFill="1" applyBorder="1" applyAlignment="1" applyProtection="1">
      <alignment horizontal="center" textRotation="90"/>
      <protection hidden="1"/>
    </xf>
    <xf numFmtId="0" fontId="14" fillId="4" borderId="0" xfId="0" applyFont="1" applyFill="1" applyAlignment="1">
      <alignment horizontal="center" vertical="center"/>
    </xf>
    <xf numFmtId="14" fontId="4" fillId="4" borderId="0" xfId="0" applyNumberFormat="1" applyFont="1" applyFill="1" applyAlignment="1" applyProtection="1">
      <alignment horizontal="left" vertical="center"/>
      <protection hidden="1"/>
    </xf>
    <xf numFmtId="14" fontId="18" fillId="0" borderId="0" xfId="0" applyNumberFormat="1" applyFont="1" applyFill="1" applyAlignment="1">
      <alignment horizontal="left" vertical="center"/>
    </xf>
    <xf numFmtId="0" fontId="18" fillId="0" borderId="0" xfId="0" applyFont="1" applyFill="1" applyAlignment="1">
      <alignment horizontal="left" vertical="center"/>
    </xf>
    <xf numFmtId="0" fontId="15" fillId="2" borderId="4" xfId="0" applyFont="1" applyFill="1" applyBorder="1" applyAlignment="1" applyProtection="1">
      <alignment horizontal="center" vertical="center" textRotation="90"/>
      <protection hidden="1"/>
    </xf>
    <xf numFmtId="0" fontId="14" fillId="2" borderId="4" xfId="0" applyFont="1" applyFill="1" applyBorder="1" applyAlignment="1" applyProtection="1">
      <alignment horizontal="center" textRotation="90"/>
      <protection hidden="1"/>
    </xf>
    <xf numFmtId="0" fontId="11" fillId="0" borderId="4" xfId="0" applyFont="1" applyFill="1" applyBorder="1" applyAlignment="1" applyProtection="1">
      <alignment horizontal="center" vertical="center"/>
      <protection hidden="1"/>
    </xf>
    <xf numFmtId="0" fontId="12" fillId="4" borderId="0" xfId="0" applyFont="1" applyFill="1" applyAlignment="1">
      <alignment horizontal="center" vertical="center"/>
    </xf>
    <xf numFmtId="0" fontId="5" fillId="0" borderId="4" xfId="0" applyFont="1" applyFill="1" applyBorder="1" applyAlignment="1" applyProtection="1">
      <alignment horizontal="left" vertical="center"/>
      <protection hidden="1"/>
    </xf>
    <xf numFmtId="0" fontId="40" fillId="0" borderId="4" xfId="0" applyFont="1" applyFill="1" applyBorder="1" applyAlignment="1" applyProtection="1">
      <alignment horizontal="left" vertical="center"/>
      <protection hidden="1"/>
    </xf>
    <xf numFmtId="0" fontId="19" fillId="0" borderId="12" xfId="0" applyFont="1" applyFill="1" applyBorder="1" applyAlignment="1" applyProtection="1">
      <alignment horizontal="center" vertical="center" textRotation="90"/>
      <protection hidden="1"/>
    </xf>
    <xf numFmtId="0" fontId="19" fillId="0" borderId="11" xfId="0" applyFont="1" applyFill="1" applyBorder="1" applyAlignment="1" applyProtection="1">
      <alignment horizontal="center" vertical="center" textRotation="90"/>
      <protection hidden="1"/>
    </xf>
    <xf numFmtId="0" fontId="19" fillId="0" borderId="13" xfId="0" applyFont="1" applyBorder="1" applyAlignment="1" applyProtection="1">
      <alignment horizontal="center" vertical="center"/>
      <protection hidden="1"/>
    </xf>
    <xf numFmtId="0" fontId="19" fillId="0" borderId="27" xfId="0" applyFont="1" applyBorder="1" applyAlignment="1" applyProtection="1">
      <alignment horizontal="center" vertical="center"/>
      <protection hidden="1"/>
    </xf>
    <xf numFmtId="0" fontId="14" fillId="0" borderId="22" xfId="0" applyFont="1" applyFill="1" applyBorder="1" applyAlignment="1" applyProtection="1">
      <alignment horizontal="center" vertical="center"/>
      <protection hidden="1"/>
    </xf>
    <xf numFmtId="0" fontId="14" fillId="0" borderId="23" xfId="0" applyFont="1" applyFill="1" applyBorder="1" applyAlignment="1" applyProtection="1">
      <alignment horizontal="center" vertical="center"/>
      <protection hidden="1"/>
    </xf>
    <xf numFmtId="0" fontId="14" fillId="0" borderId="24" xfId="0" applyFont="1" applyFill="1" applyBorder="1" applyAlignment="1" applyProtection="1">
      <alignment horizontal="center" vertical="center"/>
      <protection hidden="1"/>
    </xf>
    <xf numFmtId="0" fontId="19" fillId="0" borderId="4" xfId="0" applyFont="1" applyFill="1" applyBorder="1" applyAlignment="1" applyProtection="1">
      <alignment horizontal="center" textRotation="90"/>
      <protection hidden="1"/>
    </xf>
    <xf numFmtId="0" fontId="19" fillId="0" borderId="4" xfId="0" applyFont="1" applyBorder="1" applyAlignment="1" applyProtection="1">
      <alignment horizontal="center" textRotation="90"/>
      <protection hidden="1"/>
    </xf>
    <xf numFmtId="14" fontId="27" fillId="0" borderId="4" xfId="0" applyNumberFormat="1" applyFont="1" applyBorder="1" applyAlignment="1" applyProtection="1">
      <alignment horizontal="center" vertical="center" textRotation="90" wrapText="1"/>
      <protection hidden="1"/>
    </xf>
    <xf numFmtId="0" fontId="19" fillId="4" borderId="4" xfId="0" applyFont="1" applyFill="1" applyBorder="1" applyAlignment="1" applyProtection="1">
      <alignment horizontal="center" vertical="center" textRotation="90"/>
      <protection hidden="1"/>
    </xf>
    <xf numFmtId="0" fontId="15" fillId="0" borderId="4" xfId="0" applyFont="1" applyBorder="1" applyAlignment="1" applyProtection="1">
      <alignment horizontal="center" vertical="center"/>
      <protection hidden="1"/>
    </xf>
    <xf numFmtId="0" fontId="4" fillId="0" borderId="27" xfId="0" applyFont="1" applyBorder="1" applyAlignment="1" applyProtection="1">
      <alignment horizontal="center" vertical="center"/>
      <protection hidden="1"/>
    </xf>
    <xf numFmtId="0" fontId="4" fillId="0" borderId="26" xfId="0" applyFont="1" applyBorder="1" applyAlignment="1" applyProtection="1">
      <alignment horizontal="center" vertical="center"/>
      <protection hidden="1"/>
    </xf>
    <xf numFmtId="0" fontId="19" fillId="0" borderId="4" xfId="0" applyFont="1" applyBorder="1" applyAlignment="1" applyProtection="1">
      <alignment horizontal="center" vertical="center" textRotation="90"/>
      <protection hidden="1"/>
    </xf>
    <xf numFmtId="0" fontId="19" fillId="3" borderId="4" xfId="0" applyNumberFormat="1" applyFont="1" applyFill="1" applyBorder="1" applyAlignment="1" applyProtection="1">
      <alignment horizontal="center" vertical="center" textRotation="90" wrapText="1"/>
      <protection hidden="1"/>
    </xf>
    <xf numFmtId="0" fontId="35" fillId="0" borderId="13" xfId="0" applyFont="1" applyBorder="1" applyAlignment="1" applyProtection="1">
      <alignment horizontal="center" vertical="center"/>
      <protection hidden="1"/>
    </xf>
    <xf numFmtId="0" fontId="35" fillId="0" borderId="27" xfId="0" applyFont="1" applyBorder="1" applyAlignment="1" applyProtection="1">
      <alignment horizontal="center" vertical="center"/>
      <protection hidden="1"/>
    </xf>
    <xf numFmtId="0" fontId="35" fillId="0" borderId="26" xfId="0" applyFont="1" applyBorder="1" applyAlignment="1" applyProtection="1">
      <alignment horizontal="center" vertical="center"/>
      <protection hidden="1"/>
    </xf>
    <xf numFmtId="0" fontId="4" fillId="0" borderId="0" xfId="0" applyFont="1" applyAlignment="1" applyProtection="1">
      <alignment horizontal="left" vertical="center"/>
      <protection hidden="1"/>
    </xf>
    <xf numFmtId="14" fontId="4" fillId="0" borderId="25" xfId="0" applyNumberFormat="1" applyFont="1" applyBorder="1" applyAlignment="1" applyProtection="1">
      <alignment horizontal="left" vertical="center"/>
      <protection hidden="1"/>
    </xf>
    <xf numFmtId="0" fontId="19" fillId="4" borderId="4" xfId="0" applyFont="1" applyFill="1" applyBorder="1" applyAlignment="1" applyProtection="1">
      <alignment horizontal="center" textRotation="90"/>
      <protection hidden="1"/>
    </xf>
    <xf numFmtId="0" fontId="19" fillId="8" borderId="4" xfId="0" applyFont="1" applyFill="1" applyBorder="1" applyAlignment="1" applyProtection="1">
      <alignment horizontal="center" textRotation="90"/>
      <protection hidden="1"/>
    </xf>
    <xf numFmtId="1" fontId="4" fillId="0" borderId="4" xfId="0" applyNumberFormat="1" applyFont="1" applyBorder="1" applyAlignment="1" applyProtection="1">
      <alignment horizontal="left" vertical="top" wrapText="1"/>
      <protection locked="0"/>
    </xf>
    <xf numFmtId="1" fontId="36" fillId="0" borderId="0" xfId="0" applyNumberFormat="1" applyFont="1" applyAlignment="1" applyProtection="1">
      <alignment horizontal="center" vertical="center"/>
      <protection hidden="1"/>
    </xf>
    <xf numFmtId="1" fontId="38" fillId="0" borderId="0" xfId="0" applyNumberFormat="1" applyFont="1" applyAlignment="1">
      <alignment horizontal="center" vertical="center"/>
    </xf>
    <xf numFmtId="1" fontId="2" fillId="0" borderId="4" xfId="0" applyNumberFormat="1" applyFont="1" applyBorder="1" applyAlignment="1" applyProtection="1">
      <alignment horizontal="left" vertical="top" wrapText="1"/>
      <protection locked="0"/>
    </xf>
    <xf numFmtId="0" fontId="27" fillId="0" borderId="0" xfId="0" applyFont="1" applyAlignment="1">
      <alignment horizontal="center" vertical="center"/>
    </xf>
    <xf numFmtId="164" fontId="14" fillId="0" borderId="12" xfId="0" applyNumberFormat="1" applyFont="1" applyBorder="1" applyAlignment="1">
      <alignment horizontal="center" vertical="center" textRotation="90" wrapText="1"/>
    </xf>
    <xf numFmtId="164" fontId="14" fillId="0" borderId="36" xfId="0" applyNumberFormat="1" applyFont="1" applyBorder="1" applyAlignment="1">
      <alignment horizontal="center" vertical="center" textRotation="90" wrapText="1"/>
    </xf>
    <xf numFmtId="164" fontId="14" fillId="0" borderId="11" xfId="0" applyNumberFormat="1" applyFont="1" applyBorder="1" applyAlignment="1">
      <alignment horizontal="center" vertical="center" textRotation="90" wrapText="1"/>
    </xf>
    <xf numFmtId="164" fontId="12" fillId="0" borderId="0" xfId="0" applyNumberFormat="1" applyFont="1" applyAlignment="1">
      <alignment horizontal="center" vertical="center"/>
    </xf>
    <xf numFmtId="1" fontId="5" fillId="0" borderId="19" xfId="0" applyNumberFormat="1" applyFont="1" applyBorder="1" applyAlignment="1">
      <alignment horizontal="center" vertical="center"/>
    </xf>
    <xf numFmtId="1" fontId="5" fillId="0" borderId="20" xfId="0" applyNumberFormat="1" applyFont="1" applyBorder="1" applyAlignment="1">
      <alignment horizontal="center" vertical="center"/>
    </xf>
    <xf numFmtId="1" fontId="5" fillId="0" borderId="17" xfId="0" applyNumberFormat="1" applyFont="1" applyBorder="1" applyAlignment="1">
      <alignment horizontal="center" vertical="center"/>
    </xf>
    <xf numFmtId="1" fontId="5" fillId="0" borderId="4" xfId="0" applyNumberFormat="1" applyFont="1" applyBorder="1" applyAlignment="1">
      <alignment horizontal="center" vertical="center"/>
    </xf>
    <xf numFmtId="1" fontId="5" fillId="0" borderId="17" xfId="0" applyNumberFormat="1" applyFont="1" applyBorder="1" applyAlignment="1">
      <alignment horizontal="center"/>
    </xf>
    <xf numFmtId="1" fontId="5" fillId="0" borderId="4" xfId="0" applyNumberFormat="1" applyFont="1" applyBorder="1" applyAlignment="1">
      <alignment horizontal="center"/>
    </xf>
    <xf numFmtId="1" fontId="32" fillId="0" borderId="14" xfId="0" applyNumberFormat="1" applyFont="1" applyBorder="1" applyAlignment="1">
      <alignment horizontal="center"/>
    </xf>
    <xf numFmtId="1" fontId="32" fillId="0" borderId="15" xfId="0" applyNumberFormat="1" applyFont="1" applyBorder="1" applyAlignment="1">
      <alignment horizontal="center"/>
    </xf>
    <xf numFmtId="0" fontId="33" fillId="0" borderId="0" xfId="0" applyNumberFormat="1" applyFont="1" applyAlignment="1" applyProtection="1">
      <alignment horizontal="center" vertical="center"/>
      <protection hidden="1"/>
    </xf>
    <xf numFmtId="0" fontId="1" fillId="0" borderId="1" xfId="0" applyFont="1" applyFill="1" applyBorder="1" applyAlignment="1" applyProtection="1">
      <alignment horizontal="left" vertical="center"/>
      <protection locked="0"/>
    </xf>
  </cellXfs>
  <cellStyles count="2">
    <cellStyle name="Normal" xfId="0" builtinId="0"/>
    <cellStyle name="Porcentaje"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a:t>
            </a:r>
            <a:r>
              <a:rPr lang="es-ES" baseline="0"/>
              <a:t> aprobados y reprobados</a:t>
            </a:r>
            <a:endParaRPr lang="es-E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A50F-4D65-A2D9-C37841AF1525}"/>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A50F-4D65-A2D9-C37841AF1525}"/>
              </c:ext>
            </c:extLst>
          </c:dPt>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val>
            <c:numRef>
              <c:f>ESTADIST!$G$11:$G$12</c:f>
              <c:numCache>
                <c:formatCode>0%</c:formatCode>
                <c:ptCount val="2"/>
                <c:pt idx="0">
                  <c:v>2.7777777777777776E-2</c:v>
                </c:pt>
                <c:pt idx="1">
                  <c:v>0.97222222222222221</c:v>
                </c:pt>
              </c:numCache>
            </c:numRef>
          </c:val>
          <c:extLst>
            <c:ext xmlns:c16="http://schemas.microsoft.com/office/drawing/2014/chart" uri="{C3380CC4-5D6E-409C-BE32-E72D297353CC}">
              <c16:uniqueId val="{00000000-A533-4AF7-B679-22CE759ABF36}"/>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a:t>
            </a:r>
            <a:r>
              <a:rPr lang="es-ES" baseline="0"/>
              <a:t> aprobados y reprobados</a:t>
            </a:r>
            <a:endParaRPr lang="es-E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0339-4E0F-B8DB-516107113604}"/>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0339-4E0F-B8DB-516107113604}"/>
              </c:ext>
            </c:extLst>
          </c:dPt>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val>
            <c:numRef>
              <c:f>ESTADIST!$G$24:$G$25</c:f>
              <c:numCache>
                <c:formatCode>0%</c:formatCode>
                <c:ptCount val="2"/>
                <c:pt idx="0">
                  <c:v>2.7777777777777776E-2</c:v>
                </c:pt>
                <c:pt idx="1">
                  <c:v>0.97222222222222221</c:v>
                </c:pt>
              </c:numCache>
            </c:numRef>
          </c:val>
          <c:extLst>
            <c:ext xmlns:c16="http://schemas.microsoft.com/office/drawing/2014/chart" uri="{C3380CC4-5D6E-409C-BE32-E72D297353CC}">
              <c16:uniqueId val="{00000000-2F9F-4616-9D38-E9969BA33B08}"/>
            </c:ext>
          </c:extLst>
        </c:ser>
        <c:dLbls>
          <c:dLblPos val="bestFit"/>
          <c:showLegendKey val="0"/>
          <c:showVal val="1"/>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 aprobados y reprobados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C9B4-46CA-AF3D-A9637E51DC95}"/>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C9B4-46CA-AF3D-A9637E51DC95}"/>
              </c:ext>
            </c:extLst>
          </c:dPt>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val>
            <c:numRef>
              <c:f>ESTADIST!$G$36:$G$37</c:f>
              <c:numCache>
                <c:formatCode>0%</c:formatCode>
                <c:ptCount val="2"/>
                <c:pt idx="0">
                  <c:v>2.7777777777777776E-2</c:v>
                </c:pt>
                <c:pt idx="1">
                  <c:v>0.97222222222222221</c:v>
                </c:pt>
              </c:numCache>
            </c:numRef>
          </c:val>
          <c:extLst>
            <c:ext xmlns:c16="http://schemas.microsoft.com/office/drawing/2014/chart" uri="{C3380CC4-5D6E-409C-BE32-E72D297353CC}">
              <c16:uniqueId val="{00000000-92AD-4AC5-A70A-12969C092B83}"/>
            </c:ext>
          </c:extLst>
        </c:ser>
        <c:dLbls>
          <c:dLblPos val="bestFit"/>
          <c:showLegendKey val="0"/>
          <c:showVal val="1"/>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microsoft.com/office/2007/relationships/hdphoto" Target="../media/hdphoto1.wdp"/><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3.jpeg"/></Relationships>
</file>

<file path=xl/drawings/_rels/drawing9.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2</xdr:col>
      <xdr:colOff>28575</xdr:colOff>
      <xdr:row>0</xdr:row>
      <xdr:rowOff>180976</xdr:rowOff>
    </xdr:from>
    <xdr:to>
      <xdr:col>5</xdr:col>
      <xdr:colOff>19050</xdr:colOff>
      <xdr:row>5</xdr:row>
      <xdr:rowOff>139602</xdr:rowOff>
    </xdr:to>
    <xdr:pic>
      <xdr:nvPicPr>
        <xdr:cNvPr id="2" name="Picture 27" descr="D:\Mis Documentos\Logotipos MINEDU   V.E.R\minedu_negro.png">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3095625" y="180976"/>
          <a:ext cx="2733675" cy="911126"/>
        </a:xfrm>
        <a:prstGeom prst="rect">
          <a:avLst/>
        </a:prstGeom>
        <a:noFill/>
        <a:ln w="9525">
          <a:noFill/>
          <a:miter lim="800000"/>
          <a:headEnd/>
          <a:tailEnd/>
        </a:ln>
      </xdr:spPr>
    </xdr:pic>
    <xdr:clientData/>
  </xdr:twoCellAnchor>
  <xdr:twoCellAnchor editAs="oneCell">
    <xdr:from>
      <xdr:col>5</xdr:col>
      <xdr:colOff>209550</xdr:colOff>
      <xdr:row>0</xdr:row>
      <xdr:rowOff>66675</xdr:rowOff>
    </xdr:from>
    <xdr:to>
      <xdr:col>7</xdr:col>
      <xdr:colOff>251424</xdr:colOff>
      <xdr:row>5</xdr:row>
      <xdr:rowOff>171450</xdr:rowOff>
    </xdr:to>
    <xdr:pic>
      <xdr:nvPicPr>
        <xdr:cNvPr id="3" name="2 Imagen" descr="images_011.jpg">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extLst>
            <a:ext uri="{BEBA8EAE-BF5A-486C-A8C5-ECC9F3942E4B}">
              <a14:imgProps xmlns:a14="http://schemas.microsoft.com/office/drawing/2010/main">
                <a14:imgLayer r:embed="rId3">
                  <a14:imgEffect>
                    <a14:backgroundRemoval t="3415" b="98049" l="2846" r="98374">
                      <a14:foregroundMark x1="32927" y1="10244" x2="46748" y2="16585"/>
                      <a14:foregroundMark x1="39024" y1="8780" x2="41463" y2="4878"/>
                      <a14:foregroundMark x1="59350" y1="7317" x2="59350" y2="7317"/>
                      <a14:foregroundMark x1="61382" y1="6341" x2="61382" y2="6341"/>
                      <a14:foregroundMark x1="62602" y1="6829" x2="62602" y2="6829"/>
                      <a14:foregroundMark x1="21545" y1="25854" x2="17073" y2="18049"/>
                      <a14:foregroundMark x1="14228" y1="29756" x2="11789" y2="26341"/>
                      <a14:foregroundMark x1="10569" y1="38049" x2="5285" y2="32683"/>
                      <a14:foregroundMark x1="5691" y1="32683" x2="5691" y2="32683"/>
                      <a14:foregroundMark x1="65041" y1="30732" x2="65041" y2="30732"/>
                      <a14:foregroundMark x1="68699" y1="30732" x2="68699" y2="30732"/>
                      <a14:foregroundMark x1="67480" y1="24390" x2="67480" y2="24390"/>
                      <a14:foregroundMark x1="51220" y1="91220" x2="51220" y2="91220"/>
                      <a14:foregroundMark x1="50407" y1="87805" x2="50407" y2="87805"/>
                      <a14:foregroundMark x1="46748" y1="93659" x2="46748" y2="93659"/>
                      <a14:foregroundMark x1="51220" y1="93659" x2="51220" y2="93659"/>
                      <a14:foregroundMark x1="47967" y1="22439" x2="47967" y2="22439"/>
                      <a14:foregroundMark x1="47967" y1="19512" x2="47967" y2="19512"/>
                      <a14:foregroundMark x1="31301" y1="24390" x2="31301" y2="24390"/>
                      <a14:foregroundMark x1="28049" y1="20488" x2="28049" y2="20488"/>
                      <a14:foregroundMark x1="81301" y1="21951" x2="81301" y2="21951"/>
                      <a14:foregroundMark x1="82114" y1="19024" x2="82114" y2="19024"/>
                      <a14:foregroundMark x1="84959" y1="30244" x2="84959" y2="30244"/>
                      <a14:foregroundMark x1="83333" y1="35122" x2="84146" y2="37073"/>
                      <a14:foregroundMark x1="84146" y1="40976" x2="84146" y2="40976"/>
                      <a14:foregroundMark x1="92276" y1="38537" x2="92276" y2="38537"/>
                      <a14:foregroundMark x1="88618" y1="39024" x2="95122" y2="33171"/>
                    </a14:backgroundRemoval>
                  </a14:imgEffect>
                </a14:imgLayer>
              </a14:imgProps>
            </a:ext>
          </a:extLst>
        </a:blip>
        <a:stretch>
          <a:fillRect/>
        </a:stretch>
      </xdr:blipFill>
      <xdr:spPr>
        <a:xfrm>
          <a:off x="5286375" y="66675"/>
          <a:ext cx="1156299" cy="1057275"/>
        </a:xfrm>
        <a:prstGeom prst="rect">
          <a:avLst/>
        </a:prstGeom>
      </xdr:spPr>
    </xdr:pic>
    <xdr:clientData/>
  </xdr:twoCellAnchor>
  <xdr:twoCellAnchor editAs="oneCell">
    <xdr:from>
      <xdr:col>1</xdr:col>
      <xdr:colOff>161925</xdr:colOff>
      <xdr:row>0</xdr:row>
      <xdr:rowOff>104775</xdr:rowOff>
    </xdr:from>
    <xdr:to>
      <xdr:col>1</xdr:col>
      <xdr:colOff>1786285</xdr:colOff>
      <xdr:row>5</xdr:row>
      <xdr:rowOff>57150</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542925" y="104775"/>
          <a:ext cx="1624360" cy="904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228600</xdr:colOff>
          <xdr:row>1</xdr:row>
          <xdr:rowOff>144780</xdr:rowOff>
        </xdr:from>
        <xdr:to>
          <xdr:col>23</xdr:col>
          <xdr:colOff>220980</xdr:colOff>
          <xdr:row>3</xdr:row>
          <xdr:rowOff>152400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800-000001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00"/>
                  </a:solidFill>
                  <a:latin typeface="Calibri"/>
                  <a:cs typeface="Calibri"/>
                </a:rPr>
                <a:t>CARÁTULA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13</xdr:col>
          <xdr:colOff>22860</xdr:colOff>
          <xdr:row>4</xdr:row>
          <xdr:rowOff>152400</xdr:rowOff>
        </xdr:from>
        <xdr:to>
          <xdr:col>14</xdr:col>
          <xdr:colOff>571500</xdr:colOff>
          <xdr:row>7</xdr:row>
          <xdr:rowOff>7620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900-0000013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00"/>
                  </a:solidFill>
                  <a:latin typeface="Calibri"/>
                  <a:cs typeface="Calibri"/>
                </a:rPr>
                <a:t>CARÁTULA</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9</xdr:col>
          <xdr:colOff>716280</xdr:colOff>
          <xdr:row>2</xdr:row>
          <xdr:rowOff>0</xdr:rowOff>
        </xdr:from>
        <xdr:to>
          <xdr:col>10</xdr:col>
          <xdr:colOff>1036320</xdr:colOff>
          <xdr:row>3</xdr:row>
          <xdr:rowOff>144780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A00-0000023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00"/>
                  </a:solidFill>
                  <a:latin typeface="Calibri"/>
                  <a:cs typeface="Calibri"/>
                </a:rPr>
                <a:t>CARÁTULA</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9</xdr:col>
          <xdr:colOff>716280</xdr:colOff>
          <xdr:row>2</xdr:row>
          <xdr:rowOff>0</xdr:rowOff>
        </xdr:from>
        <xdr:to>
          <xdr:col>10</xdr:col>
          <xdr:colOff>1036320</xdr:colOff>
          <xdr:row>3</xdr:row>
          <xdr:rowOff>144780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B00-0000013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00"/>
                  </a:solidFill>
                  <a:latin typeface="Calibri"/>
                  <a:cs typeface="Calibri"/>
                </a:rPr>
                <a:t>CARÁTULA</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9</xdr:col>
          <xdr:colOff>716280</xdr:colOff>
          <xdr:row>2</xdr:row>
          <xdr:rowOff>0</xdr:rowOff>
        </xdr:from>
        <xdr:to>
          <xdr:col>10</xdr:col>
          <xdr:colOff>1036320</xdr:colOff>
          <xdr:row>3</xdr:row>
          <xdr:rowOff>144780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C00-0000014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00"/>
                  </a:solidFill>
                  <a:latin typeface="Calibri"/>
                  <a:cs typeface="Calibri"/>
                </a:rPr>
                <a:t>CARÁTULA</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8</xdr:col>
          <xdr:colOff>38100</xdr:colOff>
          <xdr:row>5</xdr:row>
          <xdr:rowOff>0</xdr:rowOff>
        </xdr:from>
        <xdr:to>
          <xdr:col>9</xdr:col>
          <xdr:colOff>487680</xdr:colOff>
          <xdr:row>6</xdr:row>
          <xdr:rowOff>160020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E00-0000013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00"/>
                  </a:solidFill>
                  <a:latin typeface="Calibri"/>
                  <a:cs typeface="Calibri"/>
                </a:rPr>
                <a:t>CARÁTULA</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8</xdr:col>
      <xdr:colOff>71438</xdr:colOff>
      <xdr:row>15</xdr:row>
      <xdr:rowOff>15875</xdr:rowOff>
    </xdr:from>
    <xdr:to>
      <xdr:col>9</xdr:col>
      <xdr:colOff>15875</xdr:colOff>
      <xdr:row>17</xdr:row>
      <xdr:rowOff>79375</xdr:rowOff>
    </xdr:to>
    <xdr:sp macro="[0]!DESTACADOS" textlink="">
      <xdr:nvSpPr>
        <xdr:cNvPr id="2" name="Rectángulo 1">
          <a:extLst>
            <a:ext uri="{FF2B5EF4-FFF2-40B4-BE49-F238E27FC236}">
              <a16:creationId xmlns:a16="http://schemas.microsoft.com/office/drawing/2014/main" id="{00000000-0008-0000-0F00-000002000000}"/>
            </a:ext>
          </a:extLst>
        </xdr:cNvPr>
        <xdr:cNvSpPr/>
      </xdr:nvSpPr>
      <xdr:spPr>
        <a:xfrm>
          <a:off x="6262688" y="1389063"/>
          <a:ext cx="1087437" cy="571500"/>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s-ES" sz="1100">
              <a:solidFill>
                <a:schemeClr val="bg1"/>
              </a:solidFill>
            </a:rPr>
            <a:t>ACTUALIZAR LISTA</a:t>
          </a:r>
        </a:p>
      </xdr:txBody>
    </xdr:sp>
    <xdr:clientData/>
  </xdr:twoCellAnchor>
  <mc:AlternateContent xmlns:mc="http://schemas.openxmlformats.org/markup-compatibility/2006">
    <mc:Choice xmlns:a14="http://schemas.microsoft.com/office/drawing/2010/main" Requires="a14">
      <xdr:twoCellAnchor editAs="absolute">
        <xdr:from>
          <xdr:col>9</xdr:col>
          <xdr:colOff>45720</xdr:colOff>
          <xdr:row>14</xdr:row>
          <xdr:rowOff>83820</xdr:rowOff>
        </xdr:from>
        <xdr:to>
          <xdr:col>9</xdr:col>
          <xdr:colOff>1089660</xdr:colOff>
          <xdr:row>16</xdr:row>
          <xdr:rowOff>144780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F00-000001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00"/>
                  </a:solidFill>
                  <a:latin typeface="Calibri"/>
                  <a:cs typeface="Calibri"/>
                </a:rPr>
                <a:t>CARÁTULA</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7</xdr:col>
      <xdr:colOff>579436</xdr:colOff>
      <xdr:row>6</xdr:row>
      <xdr:rowOff>142875</xdr:rowOff>
    </xdr:from>
    <xdr:to>
      <xdr:col>13</xdr:col>
      <xdr:colOff>341311</xdr:colOff>
      <xdr:row>16</xdr:row>
      <xdr:rowOff>127000</xdr:rowOff>
    </xdr:to>
    <xdr:graphicFrame macro="">
      <xdr:nvGraphicFramePr>
        <xdr:cNvPr id="4" name="Gráfico 3">
          <a:extLst>
            <a:ext uri="{FF2B5EF4-FFF2-40B4-BE49-F238E27FC236}">
              <a16:creationId xmlns:a16="http://schemas.microsoft.com/office/drawing/2014/main" id="{00000000-0008-0000-0D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587374</xdr:colOff>
      <xdr:row>18</xdr:row>
      <xdr:rowOff>71438</xdr:rowOff>
    </xdr:from>
    <xdr:to>
      <xdr:col>13</xdr:col>
      <xdr:colOff>369091</xdr:colOff>
      <xdr:row>29</xdr:row>
      <xdr:rowOff>101600</xdr:rowOff>
    </xdr:to>
    <xdr:graphicFrame macro="">
      <xdr:nvGraphicFramePr>
        <xdr:cNvPr id="5" name="Gráfico 4">
          <a:extLst>
            <a:ext uri="{FF2B5EF4-FFF2-40B4-BE49-F238E27FC236}">
              <a16:creationId xmlns:a16="http://schemas.microsoft.com/office/drawing/2014/main" id="{00000000-0008-0000-0D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436562</xdr:colOff>
      <xdr:row>31</xdr:row>
      <xdr:rowOff>7937</xdr:rowOff>
    </xdr:from>
    <xdr:to>
      <xdr:col>13</xdr:col>
      <xdr:colOff>293687</xdr:colOff>
      <xdr:row>42</xdr:row>
      <xdr:rowOff>95250</xdr:rowOff>
    </xdr:to>
    <xdr:graphicFrame macro="">
      <xdr:nvGraphicFramePr>
        <xdr:cNvPr id="6" name="Gráfico 5">
          <a:extLst>
            <a:ext uri="{FF2B5EF4-FFF2-40B4-BE49-F238E27FC236}">
              <a16:creationId xmlns:a16="http://schemas.microsoft.com/office/drawing/2014/main" id="{00000000-0008-0000-0D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absolute">
        <xdr:from>
          <xdr:col>12</xdr:col>
          <xdr:colOff>22860</xdr:colOff>
          <xdr:row>2</xdr:row>
          <xdr:rowOff>175260</xdr:rowOff>
        </xdr:from>
        <xdr:to>
          <xdr:col>13</xdr:col>
          <xdr:colOff>464820</xdr:colOff>
          <xdr:row>4</xdr:row>
          <xdr:rowOff>160020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D00-0000020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00"/>
                  </a:solidFill>
                  <a:latin typeface="Calibri"/>
                  <a:cs typeface="Calibri"/>
                </a:rPr>
                <a:t>CARÁTULA</a:t>
              </a:r>
            </a:p>
          </xdr:txBody>
        </xdr:sp>
        <xdr:clientData fPrintsWithSheet="0"/>
      </xdr:twoCellAnchor>
    </mc:Choice>
    <mc:Fallback/>
  </mc:AlternateContent>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9.bin"/><Relationship Id="rId4" Type="http://schemas.openxmlformats.org/officeDocument/2006/relationships/ctrlProp" Target="../ctrlProps/ctrlProp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tabColor rgb="FF7030A0"/>
  </sheetPr>
  <dimension ref="B7:K36"/>
  <sheetViews>
    <sheetView tabSelected="1" workbookViewId="0">
      <selection activeCell="D30" sqref="D30"/>
    </sheetView>
  </sheetViews>
  <sheetFormatPr baseColWidth="10" defaultColWidth="8.7109375" defaultRowHeight="14.4" x14ac:dyDescent="0.3"/>
  <cols>
    <col min="1" max="1" width="3.640625" style="87" customWidth="1"/>
    <col min="2" max="2" width="18.640625" style="87" customWidth="1"/>
    <col min="3" max="6" width="8.7109375" style="87"/>
    <col min="7" max="7" width="1.92578125" style="87" customWidth="1"/>
    <col min="8" max="8" width="8.7109375" style="87" customWidth="1"/>
    <col min="9" max="9" width="3.640625" style="87" customWidth="1"/>
    <col min="10" max="10" width="8.7109375" style="87" customWidth="1"/>
    <col min="11" max="11" width="1.92578125" style="87" customWidth="1"/>
    <col min="12" max="16384" width="8.7109375" style="87"/>
  </cols>
  <sheetData>
    <row r="7" spans="2:11" ht="15" thickBot="1" x14ac:dyDescent="0.35"/>
    <row r="8" spans="2:11" ht="20.100000000000001" customHeight="1" thickTop="1" x14ac:dyDescent="0.3">
      <c r="C8" s="197" t="s">
        <v>0</v>
      </c>
      <c r="D8" s="197"/>
      <c r="E8" s="197"/>
      <c r="F8" s="88"/>
      <c r="G8" s="133"/>
      <c r="H8" s="134"/>
      <c r="I8" s="134"/>
      <c r="J8" s="134"/>
      <c r="K8" s="135"/>
    </row>
    <row r="9" spans="2:11" x14ac:dyDescent="0.3">
      <c r="G9" s="131"/>
      <c r="H9" s="194" t="s">
        <v>10</v>
      </c>
      <c r="I9" s="194"/>
      <c r="J9" s="194"/>
      <c r="K9" s="129"/>
    </row>
    <row r="10" spans="2:11" x14ac:dyDescent="0.3">
      <c r="G10" s="131"/>
      <c r="H10" s="194"/>
      <c r="I10" s="194"/>
      <c r="J10" s="194"/>
      <c r="K10" s="129"/>
    </row>
    <row r="11" spans="2:11" ht="15" customHeight="1" x14ac:dyDescent="0.3">
      <c r="B11" s="89" t="s">
        <v>1</v>
      </c>
      <c r="C11" s="289"/>
      <c r="D11" s="192"/>
      <c r="E11" s="193"/>
      <c r="F11" s="90"/>
      <c r="G11" s="131"/>
      <c r="H11" s="130"/>
      <c r="I11" s="130"/>
      <c r="J11" s="130"/>
      <c r="K11" s="129"/>
    </row>
    <row r="12" spans="2:11" ht="15" customHeight="1" x14ac:dyDescent="0.3">
      <c r="B12" s="91"/>
      <c r="G12" s="131"/>
      <c r="H12" s="195" t="s">
        <v>11</v>
      </c>
      <c r="I12" s="195"/>
      <c r="J12" s="195"/>
      <c r="K12" s="129"/>
    </row>
    <row r="13" spans="2:11" ht="15.6" x14ac:dyDescent="0.3">
      <c r="B13" s="89" t="s">
        <v>2</v>
      </c>
      <c r="C13" s="191"/>
      <c r="D13" s="192"/>
      <c r="E13" s="193"/>
      <c r="F13" s="90"/>
      <c r="G13" s="131"/>
      <c r="H13" s="132" t="s">
        <v>12</v>
      </c>
      <c r="I13" s="130"/>
      <c r="J13" s="132" t="s">
        <v>13</v>
      </c>
      <c r="K13" s="129"/>
    </row>
    <row r="14" spans="2:11" ht="15" customHeight="1" x14ac:dyDescent="0.3">
      <c r="B14" s="91"/>
      <c r="G14" s="131"/>
      <c r="H14" s="93">
        <v>44593</v>
      </c>
      <c r="I14" s="130"/>
      <c r="J14" s="93">
        <v>44687</v>
      </c>
      <c r="K14" s="129"/>
    </row>
    <row r="15" spans="2:11" ht="15.6" x14ac:dyDescent="0.3">
      <c r="B15" s="89" t="s">
        <v>3</v>
      </c>
      <c r="C15" s="191"/>
      <c r="D15" s="192"/>
      <c r="E15" s="193"/>
      <c r="F15" s="90"/>
      <c r="G15" s="131"/>
      <c r="H15" s="130"/>
      <c r="I15" s="130"/>
      <c r="J15" s="130"/>
      <c r="K15" s="129"/>
    </row>
    <row r="16" spans="2:11" ht="15" customHeight="1" x14ac:dyDescent="0.3">
      <c r="B16" s="91"/>
      <c r="G16" s="131"/>
      <c r="H16" s="196" t="s">
        <v>14</v>
      </c>
      <c r="I16" s="196"/>
      <c r="J16" s="196"/>
      <c r="K16" s="129"/>
    </row>
    <row r="17" spans="2:11" ht="15.6" x14ac:dyDescent="0.3">
      <c r="B17" s="89" t="s">
        <v>4</v>
      </c>
      <c r="C17" s="289"/>
      <c r="D17" s="192"/>
      <c r="E17" s="193"/>
      <c r="F17" s="90"/>
      <c r="G17" s="131"/>
      <c r="H17" s="130"/>
      <c r="I17" s="130"/>
      <c r="J17" s="130"/>
      <c r="K17" s="129"/>
    </row>
    <row r="18" spans="2:11" x14ac:dyDescent="0.3">
      <c r="B18" s="91"/>
      <c r="G18" s="131"/>
      <c r="H18" s="132" t="s">
        <v>12</v>
      </c>
      <c r="I18" s="130"/>
      <c r="J18" s="132" t="s">
        <v>13</v>
      </c>
      <c r="K18" s="129"/>
    </row>
    <row r="19" spans="2:11" ht="15.6" x14ac:dyDescent="0.3">
      <c r="B19" s="89" t="s">
        <v>5</v>
      </c>
      <c r="C19" s="289"/>
      <c r="D19" s="192"/>
      <c r="E19" s="193"/>
      <c r="F19" s="90"/>
      <c r="G19" s="131"/>
      <c r="H19" s="93">
        <v>44690</v>
      </c>
      <c r="I19" s="130"/>
      <c r="J19" s="93">
        <v>44804</v>
      </c>
      <c r="K19" s="129"/>
    </row>
    <row r="20" spans="2:11" x14ac:dyDescent="0.3">
      <c r="B20" s="91"/>
      <c r="G20" s="131"/>
      <c r="H20" s="130"/>
      <c r="I20" s="130"/>
      <c r="J20" s="130"/>
      <c r="K20" s="129"/>
    </row>
    <row r="21" spans="2:11" ht="15.6" x14ac:dyDescent="0.3">
      <c r="B21" s="89" t="s">
        <v>6</v>
      </c>
      <c r="C21" s="191"/>
      <c r="D21" s="192"/>
      <c r="E21" s="193"/>
      <c r="F21" s="90"/>
      <c r="G21" s="131"/>
      <c r="H21" s="196" t="s">
        <v>15</v>
      </c>
      <c r="I21" s="196"/>
      <c r="J21" s="196"/>
      <c r="K21" s="129"/>
    </row>
    <row r="22" spans="2:11" x14ac:dyDescent="0.3">
      <c r="B22" s="91"/>
      <c r="G22" s="131"/>
      <c r="H22" s="130"/>
      <c r="I22" s="130"/>
      <c r="J22" s="130"/>
      <c r="K22" s="129"/>
    </row>
    <row r="23" spans="2:11" ht="15.6" x14ac:dyDescent="0.3">
      <c r="B23" s="89" t="s">
        <v>7</v>
      </c>
      <c r="C23" s="289"/>
      <c r="D23" s="192"/>
      <c r="E23" s="193"/>
      <c r="F23" s="90"/>
      <c r="G23" s="131"/>
      <c r="H23" s="132" t="s">
        <v>12</v>
      </c>
      <c r="I23" s="130"/>
      <c r="J23" s="132" t="s">
        <v>13</v>
      </c>
      <c r="K23" s="129"/>
    </row>
    <row r="24" spans="2:11" x14ac:dyDescent="0.3">
      <c r="B24" s="91"/>
      <c r="G24" s="131"/>
      <c r="H24" s="93">
        <v>44805</v>
      </c>
      <c r="I24" s="130"/>
      <c r="J24" s="93">
        <v>44896</v>
      </c>
      <c r="K24" s="129"/>
    </row>
    <row r="25" spans="2:11" ht="16.2" thickBot="1" x14ac:dyDescent="0.35">
      <c r="B25" s="89" t="s">
        <v>8</v>
      </c>
      <c r="C25" s="289"/>
      <c r="D25" s="192"/>
      <c r="E25" s="193"/>
      <c r="F25" s="90"/>
      <c r="G25" s="126"/>
      <c r="H25" s="127"/>
      <c r="I25" s="127"/>
      <c r="J25" s="127"/>
      <c r="K25" s="128"/>
    </row>
    <row r="26" spans="2:11" ht="15" thickTop="1" x14ac:dyDescent="0.3">
      <c r="B26" s="91"/>
    </row>
    <row r="27" spans="2:11" ht="15.6" x14ac:dyDescent="0.3">
      <c r="B27" s="89" t="s">
        <v>9</v>
      </c>
      <c r="C27" s="191"/>
      <c r="D27" s="192"/>
      <c r="E27" s="193"/>
      <c r="F27" s="90"/>
    </row>
    <row r="28" spans="2:11" x14ac:dyDescent="0.3">
      <c r="B28" s="91"/>
    </row>
    <row r="29" spans="2:11" x14ac:dyDescent="0.3">
      <c r="B29" s="92"/>
    </row>
    <row r="30" spans="2:11" x14ac:dyDescent="0.3">
      <c r="B30" s="91"/>
    </row>
    <row r="31" spans="2:11" x14ac:dyDescent="0.3">
      <c r="B31" s="91"/>
    </row>
    <row r="36" spans="2:2" x14ac:dyDescent="0.3">
      <c r="B36" s="136" t="s">
        <v>37</v>
      </c>
    </row>
  </sheetData>
  <sheetProtection algorithmName="SHA-512" hashValue="422q84Xe4tj+BIdcVhc383cWznl8OR5/grytYnFkveZiXT0fui63MXHaLqBcMrfPc/O7ye8JRLEDBXwrgEE4Dg==" saltValue="ZZ3hP8fzcudJOSvW0QQwMA==" spinCount="100000" sheet="1" objects="1" scenarios="1"/>
  <mergeCells count="14">
    <mergeCell ref="C8:E8"/>
    <mergeCell ref="C11:E11"/>
    <mergeCell ref="C13:E13"/>
    <mergeCell ref="C15:E15"/>
    <mergeCell ref="C17:E17"/>
    <mergeCell ref="C21:E21"/>
    <mergeCell ref="C23:E23"/>
    <mergeCell ref="C25:E25"/>
    <mergeCell ref="C27:E27"/>
    <mergeCell ref="H9:J10"/>
    <mergeCell ref="H12:J12"/>
    <mergeCell ref="H16:J16"/>
    <mergeCell ref="H21:J21"/>
    <mergeCell ref="C19:E19"/>
  </mergeCells>
  <pageMargins left="0" right="0" top="0" bottom="0" header="0.3" footer="0.3"/>
  <pageSetup orientation="landscape" horizontalDpi="0"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tabColor rgb="FFFFC000"/>
  </sheetPr>
  <dimension ref="A1:J43"/>
  <sheetViews>
    <sheetView zoomScale="130" zoomScaleNormal="130" workbookViewId="0">
      <selection activeCell="B8" sqref="B8:B43"/>
    </sheetView>
  </sheetViews>
  <sheetFormatPr baseColWidth="10" defaultColWidth="8.7109375" defaultRowHeight="15" customHeight="1" x14ac:dyDescent="0.3"/>
  <cols>
    <col min="1" max="1" width="2" style="2" customWidth="1"/>
    <col min="2" max="2" width="23.78515625" style="2" customWidth="1"/>
    <col min="3" max="3" width="8.0703125" style="2" customWidth="1"/>
    <col min="4" max="4" width="3.92578125" style="2" hidden="1" customWidth="1"/>
    <col min="5" max="5" width="8.92578125" style="2" customWidth="1"/>
    <col min="6" max="6" width="10.92578125" style="2" customWidth="1"/>
    <col min="7" max="8" width="8.7109375" style="2"/>
    <col min="9" max="9" width="9.7109375" style="2" customWidth="1"/>
    <col min="10" max="16384" width="8.7109375" style="2"/>
  </cols>
  <sheetData>
    <row r="1" spans="1:10" ht="8.1" customHeight="1" x14ac:dyDescent="0.3"/>
    <row r="2" spans="1:10" ht="15" customHeight="1" x14ac:dyDescent="0.3">
      <c r="A2" s="4"/>
      <c r="B2" s="198" t="s">
        <v>16</v>
      </c>
      <c r="C2" s="198"/>
      <c r="D2" s="198"/>
      <c r="E2" s="198"/>
      <c r="F2" s="198"/>
      <c r="G2" s="198"/>
      <c r="H2" s="198"/>
      <c r="I2" s="198"/>
    </row>
    <row r="3" spans="1:10" ht="5.0999999999999996" customHeight="1" x14ac:dyDescent="0.3">
      <c r="A3" s="4"/>
    </row>
    <row r="4" spans="1:10" ht="12" customHeight="1" x14ac:dyDescent="0.3">
      <c r="A4" s="4"/>
      <c r="B4" s="5" t="s">
        <v>3</v>
      </c>
      <c r="C4" s="199">
        <f>CARÁTULA!$C$15</f>
        <v>0</v>
      </c>
      <c r="D4" s="199"/>
      <c r="E4" s="199"/>
      <c r="F4" s="6" t="s">
        <v>8</v>
      </c>
      <c r="G4" s="199">
        <f>CARÁTULA!$C$25</f>
        <v>0</v>
      </c>
      <c r="H4" s="199"/>
      <c r="I4" s="199"/>
    </row>
    <row r="5" spans="1:10" ht="12" customHeight="1" x14ac:dyDescent="0.3">
      <c r="A5" s="4"/>
      <c r="B5" s="5" t="s">
        <v>6</v>
      </c>
      <c r="C5" s="199">
        <f>CARÁTULA!$C$21</f>
        <v>0</v>
      </c>
      <c r="D5" s="199"/>
      <c r="E5" s="199"/>
      <c r="F5" s="6" t="s">
        <v>5</v>
      </c>
      <c r="G5" s="199">
        <f>CARÁTULA!$C$19</f>
        <v>0</v>
      </c>
      <c r="H5" s="199"/>
      <c r="I5" s="199"/>
    </row>
    <row r="6" spans="1:10" ht="12" customHeight="1" thickBot="1" x14ac:dyDescent="0.35">
      <c r="A6" s="4"/>
      <c r="B6" s="5" t="s">
        <v>17</v>
      </c>
      <c r="C6" s="199">
        <f>CARÁTULA!$C$23</f>
        <v>0</v>
      </c>
      <c r="D6" s="199"/>
      <c r="E6" s="199"/>
      <c r="F6" s="6" t="s">
        <v>19</v>
      </c>
      <c r="G6" s="200">
        <f ca="1">TODAY()</f>
        <v>44596</v>
      </c>
      <c r="H6" s="199"/>
      <c r="I6" s="199"/>
    </row>
    <row r="7" spans="1:10" ht="15" customHeight="1" x14ac:dyDescent="0.3">
      <c r="A7" s="79"/>
      <c r="B7" s="80" t="s">
        <v>20</v>
      </c>
      <c r="C7" s="80" t="s">
        <v>21</v>
      </c>
      <c r="D7" s="81"/>
      <c r="E7" s="80" t="s">
        <v>22</v>
      </c>
      <c r="F7" s="80" t="s">
        <v>23</v>
      </c>
      <c r="G7" s="80" t="s">
        <v>24</v>
      </c>
      <c r="H7" s="80" t="s">
        <v>61</v>
      </c>
      <c r="I7" s="80" t="s">
        <v>62</v>
      </c>
      <c r="J7" s="82" t="s">
        <v>63</v>
      </c>
    </row>
    <row r="8" spans="1:10" ht="14.1" customHeight="1" x14ac:dyDescent="0.3">
      <c r="A8" s="83">
        <v>1</v>
      </c>
      <c r="B8" s="8"/>
      <c r="C8" s="9">
        <v>39948</v>
      </c>
      <c r="D8" s="84">
        <f ca="1">TODAY()</f>
        <v>44596</v>
      </c>
      <c r="E8" s="11">
        <f ca="1">INT((D8-C8)/365)</f>
        <v>12</v>
      </c>
      <c r="F8" s="10"/>
      <c r="G8" s="10"/>
      <c r="H8" s="86"/>
      <c r="I8" s="10"/>
      <c r="J8" s="85"/>
    </row>
    <row r="9" spans="1:10" ht="14.1" customHeight="1" x14ac:dyDescent="0.3">
      <c r="A9" s="83">
        <v>2</v>
      </c>
      <c r="B9" s="8"/>
      <c r="C9" s="7">
        <v>39569</v>
      </c>
      <c r="D9" s="84">
        <f t="shared" ref="D9:D43" ca="1" si="0">TODAY()</f>
        <v>44596</v>
      </c>
      <c r="E9" s="11">
        <f ca="1">INT((D9-C9)/365)</f>
        <v>13</v>
      </c>
      <c r="F9" s="10"/>
      <c r="G9" s="10"/>
      <c r="H9" s="86"/>
      <c r="I9" s="10"/>
      <c r="J9" s="85"/>
    </row>
    <row r="10" spans="1:10" ht="14.1" customHeight="1" x14ac:dyDescent="0.3">
      <c r="A10" s="83">
        <v>3</v>
      </c>
      <c r="B10" s="8"/>
      <c r="C10" s="7">
        <v>40665</v>
      </c>
      <c r="D10" s="84">
        <f t="shared" ca="1" si="0"/>
        <v>44596</v>
      </c>
      <c r="E10" s="11">
        <f t="shared" ref="E10:E43" ca="1" si="1">INT((D10-C10)/365)</f>
        <v>10</v>
      </c>
      <c r="F10" s="10"/>
      <c r="G10" s="10"/>
      <c r="H10" s="86"/>
      <c r="I10" s="10"/>
      <c r="J10" s="85"/>
    </row>
    <row r="11" spans="1:10" ht="14.1" customHeight="1" x14ac:dyDescent="0.3">
      <c r="A11" s="83">
        <v>4</v>
      </c>
      <c r="B11" s="8"/>
      <c r="C11" s="7">
        <v>37014</v>
      </c>
      <c r="D11" s="84">
        <f t="shared" ca="1" si="0"/>
        <v>44596</v>
      </c>
      <c r="E11" s="11">
        <f t="shared" ca="1" si="1"/>
        <v>20</v>
      </c>
      <c r="F11" s="10"/>
      <c r="G11" s="10"/>
      <c r="H11" s="86"/>
      <c r="I11" s="10"/>
      <c r="J11" s="85"/>
    </row>
    <row r="12" spans="1:10" ht="14.1" customHeight="1" x14ac:dyDescent="0.3">
      <c r="A12" s="83">
        <v>5</v>
      </c>
      <c r="B12" s="8"/>
      <c r="C12" s="7">
        <v>37015</v>
      </c>
      <c r="D12" s="84">
        <f t="shared" ca="1" si="0"/>
        <v>44596</v>
      </c>
      <c r="E12" s="11">
        <f t="shared" ca="1" si="1"/>
        <v>20</v>
      </c>
      <c r="F12" s="10"/>
      <c r="G12" s="10"/>
      <c r="H12" s="86"/>
      <c r="I12" s="10"/>
      <c r="J12" s="85"/>
    </row>
    <row r="13" spans="1:10" ht="14.1" customHeight="1" x14ac:dyDescent="0.3">
      <c r="A13" s="83">
        <v>6</v>
      </c>
      <c r="B13" s="8"/>
      <c r="C13" s="7">
        <v>37016</v>
      </c>
      <c r="D13" s="84">
        <f t="shared" ca="1" si="0"/>
        <v>44596</v>
      </c>
      <c r="E13" s="11">
        <f t="shared" ca="1" si="1"/>
        <v>20</v>
      </c>
      <c r="F13" s="10"/>
      <c r="G13" s="10"/>
      <c r="H13" s="86"/>
      <c r="I13" s="10"/>
      <c r="J13" s="85"/>
    </row>
    <row r="14" spans="1:10" ht="14.1" customHeight="1" x14ac:dyDescent="0.3">
      <c r="A14" s="83">
        <v>7</v>
      </c>
      <c r="B14" s="8"/>
      <c r="C14" s="7">
        <v>37017</v>
      </c>
      <c r="D14" s="84">
        <f t="shared" ca="1" si="0"/>
        <v>44596</v>
      </c>
      <c r="E14" s="11">
        <f t="shared" ca="1" si="1"/>
        <v>20</v>
      </c>
      <c r="F14" s="10"/>
      <c r="G14" s="10"/>
      <c r="H14" s="86"/>
      <c r="I14" s="10"/>
      <c r="J14" s="85"/>
    </row>
    <row r="15" spans="1:10" ht="14.1" customHeight="1" x14ac:dyDescent="0.3">
      <c r="A15" s="83">
        <v>8</v>
      </c>
      <c r="B15" s="8"/>
      <c r="C15" s="7">
        <v>37018</v>
      </c>
      <c r="D15" s="84">
        <f t="shared" ca="1" si="0"/>
        <v>44596</v>
      </c>
      <c r="E15" s="11">
        <f t="shared" ca="1" si="1"/>
        <v>20</v>
      </c>
      <c r="F15" s="10"/>
      <c r="G15" s="10"/>
      <c r="H15" s="86"/>
      <c r="I15" s="10"/>
      <c r="J15" s="85"/>
    </row>
    <row r="16" spans="1:10" ht="14.1" customHeight="1" x14ac:dyDescent="0.3">
      <c r="A16" s="83">
        <v>9</v>
      </c>
      <c r="B16" s="8"/>
      <c r="C16" s="7">
        <v>37019</v>
      </c>
      <c r="D16" s="84">
        <f t="shared" ca="1" si="0"/>
        <v>44596</v>
      </c>
      <c r="E16" s="11">
        <f t="shared" ca="1" si="1"/>
        <v>20</v>
      </c>
      <c r="F16" s="10"/>
      <c r="G16" s="10"/>
      <c r="H16" s="86"/>
      <c r="I16" s="10"/>
      <c r="J16" s="85"/>
    </row>
    <row r="17" spans="1:10" ht="14.1" customHeight="1" x14ac:dyDescent="0.3">
      <c r="A17" s="83">
        <v>10</v>
      </c>
      <c r="B17" s="8"/>
      <c r="C17" s="7">
        <v>37020</v>
      </c>
      <c r="D17" s="84">
        <f t="shared" ca="1" si="0"/>
        <v>44596</v>
      </c>
      <c r="E17" s="11">
        <f t="shared" ca="1" si="1"/>
        <v>20</v>
      </c>
      <c r="F17" s="10"/>
      <c r="G17" s="10"/>
      <c r="H17" s="86"/>
      <c r="I17" s="10"/>
      <c r="J17" s="85"/>
    </row>
    <row r="18" spans="1:10" ht="14.1" customHeight="1" x14ac:dyDescent="0.3">
      <c r="A18" s="83">
        <v>11</v>
      </c>
      <c r="B18" s="8"/>
      <c r="C18" s="7">
        <v>37021</v>
      </c>
      <c r="D18" s="84">
        <f t="shared" ca="1" si="0"/>
        <v>44596</v>
      </c>
      <c r="E18" s="11">
        <f t="shared" ca="1" si="1"/>
        <v>20</v>
      </c>
      <c r="F18" s="10"/>
      <c r="G18" s="10"/>
      <c r="H18" s="86"/>
      <c r="I18" s="10"/>
      <c r="J18" s="85"/>
    </row>
    <row r="19" spans="1:10" ht="14.1" customHeight="1" x14ac:dyDescent="0.3">
      <c r="A19" s="83">
        <v>12</v>
      </c>
      <c r="B19" s="8"/>
      <c r="C19" s="7">
        <v>37022</v>
      </c>
      <c r="D19" s="84">
        <f t="shared" ca="1" si="0"/>
        <v>44596</v>
      </c>
      <c r="E19" s="11">
        <f t="shared" ca="1" si="1"/>
        <v>20</v>
      </c>
      <c r="F19" s="10"/>
      <c r="G19" s="10"/>
      <c r="H19" s="86"/>
      <c r="I19" s="10"/>
      <c r="J19" s="85"/>
    </row>
    <row r="20" spans="1:10" ht="14.1" customHeight="1" x14ac:dyDescent="0.3">
      <c r="A20" s="83">
        <v>13</v>
      </c>
      <c r="B20" s="8"/>
      <c r="C20" s="7">
        <v>37023</v>
      </c>
      <c r="D20" s="84">
        <f t="shared" ca="1" si="0"/>
        <v>44596</v>
      </c>
      <c r="E20" s="11">
        <f t="shared" ca="1" si="1"/>
        <v>20</v>
      </c>
      <c r="F20" s="10"/>
      <c r="G20" s="10"/>
      <c r="H20" s="86"/>
      <c r="I20" s="10"/>
      <c r="J20" s="85"/>
    </row>
    <row r="21" spans="1:10" ht="14.1" customHeight="1" x14ac:dyDescent="0.3">
      <c r="A21" s="83">
        <v>14</v>
      </c>
      <c r="B21" s="8"/>
      <c r="C21" s="7">
        <v>37024</v>
      </c>
      <c r="D21" s="84">
        <f t="shared" ca="1" si="0"/>
        <v>44596</v>
      </c>
      <c r="E21" s="11">
        <f t="shared" ca="1" si="1"/>
        <v>20</v>
      </c>
      <c r="F21" s="10"/>
      <c r="G21" s="10"/>
      <c r="H21" s="86"/>
      <c r="I21" s="10"/>
      <c r="J21" s="85"/>
    </row>
    <row r="22" spans="1:10" ht="14.1" customHeight="1" x14ac:dyDescent="0.3">
      <c r="A22" s="83">
        <v>15</v>
      </c>
      <c r="B22" s="8"/>
      <c r="C22" s="7">
        <v>37025</v>
      </c>
      <c r="D22" s="84">
        <f t="shared" ca="1" si="0"/>
        <v>44596</v>
      </c>
      <c r="E22" s="11">
        <f t="shared" ca="1" si="1"/>
        <v>20</v>
      </c>
      <c r="F22" s="10"/>
      <c r="G22" s="10"/>
      <c r="H22" s="86"/>
      <c r="I22" s="10"/>
      <c r="J22" s="85"/>
    </row>
    <row r="23" spans="1:10" ht="14.1" customHeight="1" x14ac:dyDescent="0.3">
      <c r="A23" s="83">
        <v>16</v>
      </c>
      <c r="B23" s="8"/>
      <c r="C23" s="7">
        <v>37026</v>
      </c>
      <c r="D23" s="84">
        <f t="shared" ca="1" si="0"/>
        <v>44596</v>
      </c>
      <c r="E23" s="11">
        <f t="shared" ca="1" si="1"/>
        <v>20</v>
      </c>
      <c r="F23" s="10"/>
      <c r="G23" s="10"/>
      <c r="H23" s="86"/>
      <c r="I23" s="10"/>
      <c r="J23" s="85"/>
    </row>
    <row r="24" spans="1:10" ht="14.1" customHeight="1" x14ac:dyDescent="0.3">
      <c r="A24" s="83">
        <v>17</v>
      </c>
      <c r="B24" s="8"/>
      <c r="C24" s="7">
        <v>37027</v>
      </c>
      <c r="D24" s="84">
        <f t="shared" ca="1" si="0"/>
        <v>44596</v>
      </c>
      <c r="E24" s="11">
        <f t="shared" ca="1" si="1"/>
        <v>20</v>
      </c>
      <c r="F24" s="10"/>
      <c r="G24" s="10"/>
      <c r="H24" s="86"/>
      <c r="I24" s="10"/>
      <c r="J24" s="85"/>
    </row>
    <row r="25" spans="1:10" ht="14.1" customHeight="1" x14ac:dyDescent="0.3">
      <c r="A25" s="83">
        <v>18</v>
      </c>
      <c r="B25" s="8"/>
      <c r="C25" s="7">
        <v>37028</v>
      </c>
      <c r="D25" s="84">
        <f t="shared" ca="1" si="0"/>
        <v>44596</v>
      </c>
      <c r="E25" s="11">
        <f t="shared" ca="1" si="1"/>
        <v>20</v>
      </c>
      <c r="F25" s="10"/>
      <c r="G25" s="10"/>
      <c r="H25" s="86"/>
      <c r="I25" s="10"/>
      <c r="J25" s="85"/>
    </row>
    <row r="26" spans="1:10" ht="14.1" customHeight="1" x14ac:dyDescent="0.3">
      <c r="A26" s="83">
        <v>19</v>
      </c>
      <c r="B26" s="8"/>
      <c r="C26" s="7">
        <v>37029</v>
      </c>
      <c r="D26" s="84">
        <f t="shared" ca="1" si="0"/>
        <v>44596</v>
      </c>
      <c r="E26" s="11">
        <f t="shared" ca="1" si="1"/>
        <v>20</v>
      </c>
      <c r="F26" s="10"/>
      <c r="G26" s="10"/>
      <c r="H26" s="86"/>
      <c r="I26" s="10"/>
      <c r="J26" s="85"/>
    </row>
    <row r="27" spans="1:10" ht="14.1" customHeight="1" x14ac:dyDescent="0.3">
      <c r="A27" s="83">
        <v>20</v>
      </c>
      <c r="B27" s="8"/>
      <c r="C27" s="7">
        <v>37030</v>
      </c>
      <c r="D27" s="84">
        <f t="shared" ca="1" si="0"/>
        <v>44596</v>
      </c>
      <c r="E27" s="11">
        <f t="shared" ca="1" si="1"/>
        <v>20</v>
      </c>
      <c r="F27" s="10"/>
      <c r="G27" s="10"/>
      <c r="H27" s="86"/>
      <c r="I27" s="10"/>
      <c r="J27" s="85"/>
    </row>
    <row r="28" spans="1:10" ht="14.1" customHeight="1" x14ac:dyDescent="0.3">
      <c r="A28" s="83">
        <v>21</v>
      </c>
      <c r="B28" s="8"/>
      <c r="C28" s="7">
        <v>37031</v>
      </c>
      <c r="D28" s="84">
        <f t="shared" ca="1" si="0"/>
        <v>44596</v>
      </c>
      <c r="E28" s="11">
        <f t="shared" ca="1" si="1"/>
        <v>20</v>
      </c>
      <c r="F28" s="10"/>
      <c r="G28" s="10"/>
      <c r="H28" s="86"/>
      <c r="I28" s="10"/>
      <c r="J28" s="85"/>
    </row>
    <row r="29" spans="1:10" ht="14.1" customHeight="1" x14ac:dyDescent="0.3">
      <c r="A29" s="83">
        <v>22</v>
      </c>
      <c r="B29" s="8"/>
      <c r="C29" s="7">
        <v>37032</v>
      </c>
      <c r="D29" s="84">
        <f t="shared" ca="1" si="0"/>
        <v>44596</v>
      </c>
      <c r="E29" s="11">
        <f t="shared" ca="1" si="1"/>
        <v>20</v>
      </c>
      <c r="F29" s="10"/>
      <c r="G29" s="10"/>
      <c r="H29" s="86"/>
      <c r="I29" s="10"/>
      <c r="J29" s="85"/>
    </row>
    <row r="30" spans="1:10" ht="14.1" customHeight="1" x14ac:dyDescent="0.3">
      <c r="A30" s="83">
        <v>23</v>
      </c>
      <c r="B30" s="8"/>
      <c r="C30" s="7">
        <v>37033</v>
      </c>
      <c r="D30" s="84">
        <f t="shared" ca="1" si="0"/>
        <v>44596</v>
      </c>
      <c r="E30" s="11">
        <f t="shared" ca="1" si="1"/>
        <v>20</v>
      </c>
      <c r="F30" s="10"/>
      <c r="G30" s="10"/>
      <c r="H30" s="86"/>
      <c r="I30" s="10"/>
      <c r="J30" s="85"/>
    </row>
    <row r="31" spans="1:10" ht="14.1" customHeight="1" x14ac:dyDescent="0.3">
      <c r="A31" s="83">
        <v>24</v>
      </c>
      <c r="B31" s="8"/>
      <c r="C31" s="7">
        <v>37034</v>
      </c>
      <c r="D31" s="84">
        <f t="shared" ca="1" si="0"/>
        <v>44596</v>
      </c>
      <c r="E31" s="11">
        <f t="shared" ca="1" si="1"/>
        <v>20</v>
      </c>
      <c r="F31" s="10"/>
      <c r="G31" s="10"/>
      <c r="H31" s="86"/>
      <c r="I31" s="10"/>
      <c r="J31" s="85"/>
    </row>
    <row r="32" spans="1:10" ht="14.1" customHeight="1" x14ac:dyDescent="0.3">
      <c r="A32" s="83">
        <v>25</v>
      </c>
      <c r="B32" s="8"/>
      <c r="C32" s="7">
        <v>37035</v>
      </c>
      <c r="D32" s="84">
        <f t="shared" ca="1" si="0"/>
        <v>44596</v>
      </c>
      <c r="E32" s="11">
        <f t="shared" ca="1" si="1"/>
        <v>20</v>
      </c>
      <c r="F32" s="10"/>
      <c r="G32" s="10"/>
      <c r="H32" s="86"/>
      <c r="I32" s="10"/>
      <c r="J32" s="85"/>
    </row>
    <row r="33" spans="1:10" ht="14.1" customHeight="1" x14ac:dyDescent="0.3">
      <c r="A33" s="83">
        <v>26</v>
      </c>
      <c r="B33" s="8"/>
      <c r="C33" s="7">
        <v>37036</v>
      </c>
      <c r="D33" s="84">
        <f t="shared" ca="1" si="0"/>
        <v>44596</v>
      </c>
      <c r="E33" s="11">
        <f t="shared" ca="1" si="1"/>
        <v>20</v>
      </c>
      <c r="F33" s="10"/>
      <c r="G33" s="10"/>
      <c r="H33" s="86"/>
      <c r="I33" s="10"/>
      <c r="J33" s="85"/>
    </row>
    <row r="34" spans="1:10" ht="14.1" customHeight="1" x14ac:dyDescent="0.3">
      <c r="A34" s="83">
        <v>27</v>
      </c>
      <c r="B34" s="8"/>
      <c r="C34" s="7">
        <v>37037</v>
      </c>
      <c r="D34" s="84">
        <f t="shared" ca="1" si="0"/>
        <v>44596</v>
      </c>
      <c r="E34" s="11">
        <f t="shared" ca="1" si="1"/>
        <v>20</v>
      </c>
      <c r="F34" s="10"/>
      <c r="G34" s="10"/>
      <c r="H34" s="86"/>
      <c r="I34" s="10"/>
      <c r="J34" s="85"/>
    </row>
    <row r="35" spans="1:10" ht="14.1" customHeight="1" x14ac:dyDescent="0.3">
      <c r="A35" s="83">
        <v>28</v>
      </c>
      <c r="B35" s="8"/>
      <c r="C35" s="7">
        <v>37038</v>
      </c>
      <c r="D35" s="84">
        <f t="shared" ca="1" si="0"/>
        <v>44596</v>
      </c>
      <c r="E35" s="11">
        <f t="shared" ca="1" si="1"/>
        <v>20</v>
      </c>
      <c r="F35" s="10"/>
      <c r="G35" s="10"/>
      <c r="H35" s="86"/>
      <c r="I35" s="10"/>
      <c r="J35" s="85"/>
    </row>
    <row r="36" spans="1:10" ht="14.1" customHeight="1" x14ac:dyDescent="0.3">
      <c r="A36" s="83">
        <v>29</v>
      </c>
      <c r="B36" s="8"/>
      <c r="C36" s="7">
        <v>37039</v>
      </c>
      <c r="D36" s="84">
        <f t="shared" ca="1" si="0"/>
        <v>44596</v>
      </c>
      <c r="E36" s="11">
        <f t="shared" ca="1" si="1"/>
        <v>20</v>
      </c>
      <c r="F36" s="10"/>
      <c r="G36" s="10"/>
      <c r="H36" s="86"/>
      <c r="I36" s="10"/>
      <c r="J36" s="85"/>
    </row>
    <row r="37" spans="1:10" ht="14.1" customHeight="1" x14ac:dyDescent="0.3">
      <c r="A37" s="83">
        <v>30</v>
      </c>
      <c r="B37" s="8"/>
      <c r="C37" s="7">
        <v>37040</v>
      </c>
      <c r="D37" s="84">
        <f t="shared" ca="1" si="0"/>
        <v>44596</v>
      </c>
      <c r="E37" s="11">
        <f t="shared" ca="1" si="1"/>
        <v>20</v>
      </c>
      <c r="F37" s="10"/>
      <c r="G37" s="10"/>
      <c r="H37" s="86"/>
      <c r="I37" s="10"/>
      <c r="J37" s="85"/>
    </row>
    <row r="38" spans="1:10" ht="14.1" customHeight="1" x14ac:dyDescent="0.3">
      <c r="A38" s="83">
        <v>31</v>
      </c>
      <c r="B38" s="8"/>
      <c r="C38" s="7">
        <v>37041</v>
      </c>
      <c r="D38" s="84">
        <f t="shared" ca="1" si="0"/>
        <v>44596</v>
      </c>
      <c r="E38" s="11">
        <f t="shared" ca="1" si="1"/>
        <v>20</v>
      </c>
      <c r="F38" s="10"/>
      <c r="G38" s="10"/>
      <c r="H38" s="86"/>
      <c r="I38" s="10"/>
      <c r="J38" s="85"/>
    </row>
    <row r="39" spans="1:10" ht="14.1" customHeight="1" x14ac:dyDescent="0.3">
      <c r="A39" s="83">
        <v>32</v>
      </c>
      <c r="B39" s="8"/>
      <c r="C39" s="7">
        <v>37042</v>
      </c>
      <c r="D39" s="84">
        <f t="shared" ca="1" si="0"/>
        <v>44596</v>
      </c>
      <c r="E39" s="11">
        <f t="shared" ca="1" si="1"/>
        <v>20</v>
      </c>
      <c r="F39" s="10"/>
      <c r="G39" s="10"/>
      <c r="H39" s="86"/>
      <c r="I39" s="10"/>
      <c r="J39" s="85"/>
    </row>
    <row r="40" spans="1:10" ht="14.1" customHeight="1" x14ac:dyDescent="0.3">
      <c r="A40" s="83">
        <v>33</v>
      </c>
      <c r="B40" s="8"/>
      <c r="C40" s="7">
        <v>37043</v>
      </c>
      <c r="D40" s="84">
        <f t="shared" ca="1" si="0"/>
        <v>44596</v>
      </c>
      <c r="E40" s="11">
        <f t="shared" ca="1" si="1"/>
        <v>20</v>
      </c>
      <c r="F40" s="10"/>
      <c r="G40" s="10"/>
      <c r="H40" s="86"/>
      <c r="I40" s="10"/>
      <c r="J40" s="85"/>
    </row>
    <row r="41" spans="1:10" ht="14.1" customHeight="1" x14ac:dyDescent="0.3">
      <c r="A41" s="83">
        <v>34</v>
      </c>
      <c r="B41" s="8"/>
      <c r="C41" s="7">
        <v>37044</v>
      </c>
      <c r="D41" s="84">
        <f t="shared" ca="1" si="0"/>
        <v>44596</v>
      </c>
      <c r="E41" s="11">
        <f t="shared" ca="1" si="1"/>
        <v>20</v>
      </c>
      <c r="F41" s="10"/>
      <c r="G41" s="10"/>
      <c r="H41" s="86"/>
      <c r="I41" s="10"/>
      <c r="J41" s="85"/>
    </row>
    <row r="42" spans="1:10" ht="14.1" customHeight="1" x14ac:dyDescent="0.3">
      <c r="A42" s="83">
        <v>35</v>
      </c>
      <c r="B42" s="8"/>
      <c r="C42" s="7">
        <v>37045</v>
      </c>
      <c r="D42" s="84">
        <f t="shared" ca="1" si="0"/>
        <v>44596</v>
      </c>
      <c r="E42" s="11">
        <f t="shared" ca="1" si="1"/>
        <v>20</v>
      </c>
      <c r="F42" s="15"/>
      <c r="G42" s="15"/>
      <c r="H42" s="86"/>
      <c r="I42" s="10"/>
      <c r="J42" s="85"/>
    </row>
    <row r="43" spans="1:10" ht="14.1" customHeight="1" x14ac:dyDescent="0.3">
      <c r="A43" s="83">
        <v>36</v>
      </c>
      <c r="B43" s="8"/>
      <c r="C43" s="7">
        <v>37046</v>
      </c>
      <c r="D43" s="84">
        <f t="shared" ca="1" si="0"/>
        <v>44596</v>
      </c>
      <c r="E43" s="11">
        <f t="shared" ca="1" si="1"/>
        <v>20</v>
      </c>
      <c r="F43" s="10"/>
      <c r="G43" s="10"/>
      <c r="H43" s="86"/>
      <c r="I43" s="10"/>
      <c r="J43" s="85"/>
    </row>
  </sheetData>
  <sheetProtection algorithmName="SHA-512" hashValue="gjpTDDZ0vtaZrAjhYWkTIzTd4oJVjOf9iu0xEpQHTsecEGS1sKaW4ylMeY5bya72jXDo37q8i8lBjG7JN3A56Q==" saltValue="EUiMgTmDvZLihrbDr1JGmg==" spinCount="100000" sheet="1" objects="1" scenarios="1"/>
  <mergeCells count="7">
    <mergeCell ref="B2:I2"/>
    <mergeCell ref="C4:E4"/>
    <mergeCell ref="C5:E5"/>
    <mergeCell ref="C6:E6"/>
    <mergeCell ref="G4:I4"/>
    <mergeCell ref="G5:I5"/>
    <mergeCell ref="G6:I6"/>
  </mergeCells>
  <phoneticPr fontId="41" type="noConversion"/>
  <pageMargins left="0" right="0" top="0" bottom="0" header="0.3" footer="0.3"/>
  <pageSetup orientation="landscape"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tabColor rgb="FFC00000"/>
  </sheetPr>
  <dimension ref="A1:BI43"/>
  <sheetViews>
    <sheetView zoomScale="120" zoomScaleNormal="120" workbookViewId="0">
      <selection activeCell="B8" sqref="B8:B43"/>
    </sheetView>
  </sheetViews>
  <sheetFormatPr baseColWidth="10" defaultColWidth="8.7109375" defaultRowHeight="12.9" customHeight="1" x14ac:dyDescent="0.4"/>
  <cols>
    <col min="1" max="1" width="1.640625" customWidth="1"/>
    <col min="2" max="2" width="20.640625" customWidth="1"/>
    <col min="3" max="52" width="1.28515625" customWidth="1"/>
    <col min="53" max="57" width="1.42578125" customWidth="1"/>
    <col min="58" max="62" width="1.640625" customWidth="1"/>
  </cols>
  <sheetData>
    <row r="1" spans="1:61" ht="5.0999999999999996" customHeight="1" x14ac:dyDescent="0.4"/>
    <row r="2" spans="1:61" ht="12.9" customHeight="1" x14ac:dyDescent="0.4">
      <c r="B2" s="198" t="s">
        <v>25</v>
      </c>
      <c r="C2" s="198"/>
      <c r="D2" s="198"/>
      <c r="E2" s="198"/>
      <c r="F2" s="198"/>
      <c r="G2" s="198"/>
      <c r="H2" s="198"/>
      <c r="I2" s="198"/>
      <c r="J2" s="198"/>
      <c r="K2" s="198"/>
      <c r="L2" s="198"/>
      <c r="M2" s="198"/>
      <c r="N2" s="198"/>
      <c r="O2" s="198"/>
      <c r="P2" s="198"/>
      <c r="Q2" s="198"/>
      <c r="R2" s="198"/>
      <c r="S2" s="198"/>
      <c r="T2" s="198"/>
      <c r="U2" s="198"/>
      <c r="V2" s="198"/>
      <c r="W2" s="198"/>
      <c r="X2" s="198"/>
      <c r="Y2" s="198"/>
      <c r="Z2" s="198"/>
      <c r="AA2" s="198"/>
      <c r="AB2" s="198"/>
      <c r="AC2" s="198"/>
      <c r="AD2" s="198"/>
      <c r="AE2" s="198"/>
      <c r="AF2" s="198"/>
      <c r="AG2" s="198"/>
      <c r="AH2" s="198"/>
      <c r="AI2" s="198"/>
      <c r="AJ2" s="198"/>
      <c r="AK2" s="198"/>
      <c r="AL2" s="198"/>
      <c r="AM2" s="198"/>
      <c r="AN2" s="198"/>
      <c r="AO2" s="198"/>
      <c r="AP2" s="198"/>
      <c r="AQ2" s="198"/>
      <c r="AR2" s="198"/>
      <c r="AS2" s="198"/>
      <c r="AT2" s="198"/>
      <c r="AU2" s="198"/>
      <c r="AV2" s="198"/>
      <c r="AW2" s="198"/>
      <c r="AX2" s="198"/>
      <c r="AY2" s="198"/>
      <c r="AZ2" s="198"/>
      <c r="BA2" s="198"/>
      <c r="BB2" s="198"/>
      <c r="BC2" s="198"/>
      <c r="BD2" s="198"/>
      <c r="BE2" s="198"/>
      <c r="BF2" s="198"/>
      <c r="BG2" s="198"/>
      <c r="BH2" s="198"/>
      <c r="BI2" s="198"/>
    </row>
    <row r="3" spans="1:61" ht="12.9" customHeight="1" thickBot="1" x14ac:dyDescent="0.45">
      <c r="B3" s="13" t="s">
        <v>3</v>
      </c>
      <c r="C3" s="30">
        <f>CARÁTULA!$C$15</f>
        <v>0</v>
      </c>
      <c r="D3" s="29"/>
      <c r="E3" s="29"/>
      <c r="F3" s="29"/>
      <c r="G3" s="29"/>
      <c r="H3" s="29"/>
      <c r="I3" s="29"/>
      <c r="J3" s="29"/>
      <c r="K3" s="29"/>
      <c r="L3" s="29"/>
      <c r="M3" s="29"/>
      <c r="N3" s="29"/>
      <c r="O3" s="31"/>
      <c r="P3" s="31"/>
      <c r="Q3" s="19"/>
      <c r="R3" s="19"/>
      <c r="S3" s="19" t="s">
        <v>8</v>
      </c>
      <c r="T3" s="20"/>
      <c r="U3" s="20"/>
      <c r="V3" s="20"/>
      <c r="W3" s="20"/>
      <c r="X3" s="28">
        <f>CARÁTULA!$C$25</f>
        <v>0</v>
      </c>
      <c r="Y3" s="28"/>
      <c r="Z3" s="28"/>
      <c r="AA3" s="28"/>
      <c r="AB3" s="28"/>
      <c r="AC3" s="28"/>
      <c r="AD3" s="28"/>
      <c r="AE3" s="28"/>
      <c r="AF3" s="28"/>
      <c r="AG3" s="28"/>
      <c r="AH3" s="28"/>
      <c r="AI3" s="29"/>
      <c r="AJ3" s="1"/>
      <c r="AK3" s="20" t="s">
        <v>34</v>
      </c>
      <c r="AL3" s="1"/>
      <c r="AM3" s="1"/>
      <c r="AN3" s="1"/>
      <c r="AO3" s="1"/>
      <c r="AP3" s="1"/>
      <c r="AQ3" s="1"/>
      <c r="AR3" s="1"/>
      <c r="AS3" s="1"/>
      <c r="AT3" s="209">
        <f>CARÁTULA!$H$14</f>
        <v>44593</v>
      </c>
      <c r="AU3" s="210"/>
      <c r="AV3" s="210"/>
      <c r="AW3" s="210"/>
      <c r="AX3" s="210"/>
      <c r="AY3" s="210"/>
      <c r="AZ3" s="210"/>
      <c r="BA3" s="201" t="s">
        <v>40</v>
      </c>
      <c r="BB3" s="201"/>
      <c r="BC3" s="201"/>
      <c r="BD3" s="201"/>
      <c r="BE3" s="201"/>
    </row>
    <row r="4" spans="1:61" ht="12.9" customHeight="1" x14ac:dyDescent="0.4">
      <c r="B4" s="13" t="s">
        <v>6</v>
      </c>
      <c r="C4" s="30">
        <f>CARÁTULA!$C$21</f>
        <v>0</v>
      </c>
      <c r="D4" s="29"/>
      <c r="E4" s="29"/>
      <c r="F4" s="29"/>
      <c r="G4" s="29"/>
      <c r="H4" s="29"/>
      <c r="I4" s="29"/>
      <c r="J4" s="29"/>
      <c r="K4" s="29"/>
      <c r="L4" s="29"/>
      <c r="M4" s="29"/>
      <c r="N4" s="29"/>
      <c r="O4" s="31"/>
      <c r="P4" s="31"/>
      <c r="Q4" s="19"/>
      <c r="R4" s="19"/>
      <c r="S4" s="19" t="s">
        <v>26</v>
      </c>
      <c r="T4" s="20"/>
      <c r="U4" s="1"/>
      <c r="V4" s="1"/>
      <c r="W4" s="1"/>
      <c r="X4" s="30">
        <f>CARÁTULA!$C$19</f>
        <v>0</v>
      </c>
      <c r="Y4" s="29"/>
      <c r="Z4" s="29"/>
      <c r="AA4" s="29"/>
      <c r="AB4" s="29"/>
      <c r="AC4" s="29"/>
      <c r="AD4" s="29"/>
      <c r="AE4" s="29"/>
      <c r="AF4" s="29"/>
      <c r="AG4" s="29"/>
      <c r="AH4" s="29"/>
      <c r="AI4" s="29"/>
      <c r="AJ4" s="1"/>
      <c r="AK4" s="20" t="s">
        <v>35</v>
      </c>
      <c r="AL4" s="1"/>
      <c r="AM4" s="1"/>
      <c r="AN4" s="1"/>
      <c r="AO4" s="1"/>
      <c r="AP4" s="1"/>
      <c r="AQ4" s="1"/>
      <c r="AR4" s="1"/>
      <c r="AS4" s="1"/>
      <c r="AT4" s="209">
        <f>CARÁTULA!$J$14</f>
        <v>44687</v>
      </c>
      <c r="AU4" s="210"/>
      <c r="AV4" s="210"/>
      <c r="AW4" s="210"/>
      <c r="AX4" s="210"/>
      <c r="AY4" s="210"/>
      <c r="AZ4" s="210"/>
      <c r="BA4" s="202">
        <f ca="1">AT4-AT5</f>
        <v>91</v>
      </c>
      <c r="BB4" s="203"/>
      <c r="BC4" s="203"/>
      <c r="BD4" s="203"/>
      <c r="BE4" s="204"/>
    </row>
    <row r="5" spans="1:61" ht="12.9" customHeight="1" thickBot="1" x14ac:dyDescent="0.45">
      <c r="B5" s="13" t="s">
        <v>17</v>
      </c>
      <c r="C5" s="28">
        <f>CARÁTULA!$C$23</f>
        <v>0</v>
      </c>
      <c r="D5" s="29"/>
      <c r="E5" s="29"/>
      <c r="F5" s="29"/>
      <c r="G5" s="29"/>
      <c r="H5" s="29"/>
      <c r="I5" s="29"/>
      <c r="J5" s="29"/>
      <c r="K5" s="29"/>
      <c r="L5" s="29"/>
      <c r="M5" s="29"/>
      <c r="N5" s="29"/>
      <c r="O5" s="32"/>
      <c r="P5" s="32"/>
      <c r="Q5" s="13"/>
      <c r="R5" s="13"/>
      <c r="S5" s="27" t="s">
        <v>19</v>
      </c>
      <c r="T5" s="21"/>
      <c r="U5" s="21"/>
      <c r="V5" s="21"/>
      <c r="W5" s="21"/>
      <c r="X5" s="208">
        <f ca="1">TODAY()</f>
        <v>44596</v>
      </c>
      <c r="Y5" s="208"/>
      <c r="Z5" s="208"/>
      <c r="AA5" s="208"/>
      <c r="AB5" s="208"/>
      <c r="AC5" s="208"/>
      <c r="AD5" s="29"/>
      <c r="AE5" s="29"/>
      <c r="AF5" s="29"/>
      <c r="AG5" s="29"/>
      <c r="AH5" s="29"/>
      <c r="AI5" s="29"/>
      <c r="AJ5" s="1"/>
      <c r="AK5" s="35" t="s">
        <v>36</v>
      </c>
      <c r="AL5" s="36"/>
      <c r="AM5" s="36"/>
      <c r="AN5" s="36"/>
      <c r="AO5" s="36"/>
      <c r="AP5" s="36"/>
      <c r="AQ5" s="36"/>
      <c r="AR5" s="1"/>
      <c r="AS5" s="1"/>
      <c r="AT5" s="211">
        <f ca="1">TODAY()</f>
        <v>44596</v>
      </c>
      <c r="AU5" s="212"/>
      <c r="AV5" s="212"/>
      <c r="AW5" s="212"/>
      <c r="AX5" s="212"/>
      <c r="AY5" s="212"/>
      <c r="AZ5" s="212"/>
      <c r="BA5" s="205"/>
      <c r="BB5" s="206"/>
      <c r="BC5" s="206"/>
      <c r="BD5" s="206"/>
      <c r="BE5" s="207"/>
    </row>
    <row r="6" spans="1:61" ht="3" customHeight="1" thickBot="1" x14ac:dyDescent="0.45">
      <c r="B6" s="12"/>
      <c r="C6" s="1"/>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1"/>
      <c r="AR6" s="1"/>
      <c r="AS6" s="1"/>
      <c r="AT6" s="1"/>
      <c r="AU6" s="1"/>
      <c r="AV6" s="1"/>
      <c r="AW6" s="1"/>
      <c r="AX6" s="1"/>
      <c r="AY6" s="1"/>
      <c r="AZ6" s="1"/>
      <c r="BA6" s="1"/>
      <c r="BB6" s="1"/>
      <c r="BC6" s="1"/>
      <c r="BD6" s="1"/>
    </row>
    <row r="7" spans="1:61" ht="68.099999999999994" customHeight="1" x14ac:dyDescent="0.4">
      <c r="A7" s="16" t="s">
        <v>27</v>
      </c>
      <c r="B7" s="38" t="s">
        <v>28</v>
      </c>
      <c r="C7" s="39"/>
      <c r="D7" s="39"/>
      <c r="E7" s="40"/>
      <c r="F7" s="40"/>
      <c r="G7" s="40"/>
      <c r="H7" s="40"/>
      <c r="I7" s="40"/>
      <c r="J7" s="40"/>
      <c r="K7" s="40"/>
      <c r="L7" s="40"/>
      <c r="M7" s="40"/>
      <c r="N7" s="40"/>
      <c r="O7" s="40"/>
      <c r="P7" s="40"/>
      <c r="Q7" s="40"/>
      <c r="R7" s="40"/>
      <c r="S7" s="40"/>
      <c r="T7" s="40"/>
      <c r="U7" s="40"/>
      <c r="V7" s="40"/>
      <c r="W7" s="40"/>
      <c r="X7" s="40"/>
      <c r="Y7" s="40"/>
      <c r="Z7" s="40"/>
      <c r="AA7" s="40"/>
      <c r="AB7" s="40"/>
      <c r="AC7" s="40"/>
      <c r="AD7" s="40"/>
      <c r="AE7" s="40"/>
      <c r="AF7" s="40"/>
      <c r="AG7" s="40"/>
      <c r="AH7" s="40"/>
      <c r="AI7" s="40"/>
      <c r="AJ7" s="40"/>
      <c r="AK7" s="40"/>
      <c r="AL7" s="40"/>
      <c r="AM7" s="40"/>
      <c r="AN7" s="40"/>
      <c r="AO7" s="40"/>
      <c r="AP7" s="40"/>
      <c r="AQ7" s="40"/>
      <c r="AR7" s="40"/>
      <c r="AS7" s="40"/>
      <c r="AT7" s="40"/>
      <c r="AU7" s="40"/>
      <c r="AV7" s="40"/>
      <c r="AW7" s="40"/>
      <c r="AX7" s="40"/>
      <c r="AY7" s="40"/>
      <c r="AZ7" s="41"/>
      <c r="BA7" s="22" t="s">
        <v>29</v>
      </c>
      <c r="BB7" s="23" t="s">
        <v>30</v>
      </c>
      <c r="BC7" s="23" t="s">
        <v>32</v>
      </c>
      <c r="BD7" s="23" t="s">
        <v>31</v>
      </c>
      <c r="BE7" s="24" t="s">
        <v>33</v>
      </c>
    </row>
    <row r="8" spans="1:61" ht="12" customHeight="1" x14ac:dyDescent="0.4">
      <c r="A8" s="37">
        <v>1</v>
      </c>
      <c r="B8" s="18">
        <f>'C. FILIACION'!B8</f>
        <v>0</v>
      </c>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42"/>
      <c r="AX8" s="42"/>
      <c r="AY8" s="42"/>
      <c r="AZ8" s="43"/>
      <c r="BA8" s="25" t="str">
        <f t="shared" ref="BA8:BA43" si="0">IF(COUNTIF(C8:AZ8,"A")=0,"",COUNTIF(C8:AZ8,"A"))</f>
        <v/>
      </c>
      <c r="BB8" s="17" t="str">
        <f t="shared" ref="BB8:BB43" si="1">IF(COUNTIF(C8:AZ8,"F")=0,"",COUNTIF(C8:AZ8,"F"))</f>
        <v/>
      </c>
      <c r="BC8" s="17" t="str">
        <f t="shared" ref="BC8:BC43" si="2">IF(COUNTIF(C8:AZ8,"R")=0,"",COUNTIF(C8:AZ8,"R"))</f>
        <v/>
      </c>
      <c r="BD8" s="17" t="str">
        <f t="shared" ref="BD8:BD43" si="3">IF(COUNTIF(C8:AZ8,"L")=0,"",COUNTIF(C8:AZ8,"L"))</f>
        <v/>
      </c>
      <c r="BE8" s="26" t="str">
        <f t="shared" ref="BE8:BE43" si="4">IF(COUNTIF(C8:AZ8,"L")=0,"",COUNTIF(C8:AZ8,"L"))</f>
        <v/>
      </c>
    </row>
    <row r="9" spans="1:61" ht="12" customHeight="1" x14ac:dyDescent="0.4">
      <c r="A9" s="37">
        <v>2</v>
      </c>
      <c r="B9" s="18">
        <f>'C. FILIACION'!B9</f>
        <v>0</v>
      </c>
      <c r="C9" s="42"/>
      <c r="D9" s="42"/>
      <c r="E9" s="42"/>
      <c r="F9" s="42"/>
      <c r="G9" s="42"/>
      <c r="H9" s="42"/>
      <c r="I9" s="42"/>
      <c r="J9" s="42"/>
      <c r="K9" s="42"/>
      <c r="L9" s="42"/>
      <c r="M9" s="42"/>
      <c r="N9" s="42"/>
      <c r="O9" s="42"/>
      <c r="P9" s="42"/>
      <c r="Q9" s="42"/>
      <c r="R9" s="42"/>
      <c r="S9" s="42"/>
      <c r="T9" s="42"/>
      <c r="U9" s="42"/>
      <c r="V9" s="42"/>
      <c r="W9" s="42"/>
      <c r="X9" s="42"/>
      <c r="Y9" s="42"/>
      <c r="Z9" s="42"/>
      <c r="AA9" s="42"/>
      <c r="AB9" s="42"/>
      <c r="AC9" s="42"/>
      <c r="AD9" s="42"/>
      <c r="AE9" s="42"/>
      <c r="AF9" s="42"/>
      <c r="AG9" s="42"/>
      <c r="AH9" s="42"/>
      <c r="AI9" s="42"/>
      <c r="AJ9" s="42"/>
      <c r="AK9" s="42"/>
      <c r="AL9" s="42"/>
      <c r="AM9" s="42"/>
      <c r="AN9" s="42"/>
      <c r="AO9" s="42"/>
      <c r="AP9" s="42"/>
      <c r="AQ9" s="42"/>
      <c r="AR9" s="42"/>
      <c r="AS9" s="42"/>
      <c r="AT9" s="42"/>
      <c r="AU9" s="42"/>
      <c r="AV9" s="42"/>
      <c r="AW9" s="42"/>
      <c r="AX9" s="42"/>
      <c r="AY9" s="42"/>
      <c r="AZ9" s="43"/>
      <c r="BA9" s="25" t="str">
        <f t="shared" si="0"/>
        <v/>
      </c>
      <c r="BB9" s="17" t="str">
        <f t="shared" si="1"/>
        <v/>
      </c>
      <c r="BC9" s="17" t="str">
        <f t="shared" si="2"/>
        <v/>
      </c>
      <c r="BD9" s="17" t="str">
        <f t="shared" si="3"/>
        <v/>
      </c>
      <c r="BE9" s="26" t="str">
        <f t="shared" si="4"/>
        <v/>
      </c>
    </row>
    <row r="10" spans="1:61" ht="12" customHeight="1" x14ac:dyDescent="0.4">
      <c r="A10" s="37">
        <v>3</v>
      </c>
      <c r="B10" s="18">
        <f>'C. FILIACION'!B10</f>
        <v>0</v>
      </c>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2"/>
      <c r="AK10" s="42"/>
      <c r="AL10" s="42"/>
      <c r="AM10" s="42"/>
      <c r="AN10" s="42"/>
      <c r="AO10" s="42"/>
      <c r="AP10" s="42"/>
      <c r="AQ10" s="42"/>
      <c r="AR10" s="42"/>
      <c r="AS10" s="42"/>
      <c r="AT10" s="42"/>
      <c r="AU10" s="42"/>
      <c r="AV10" s="42"/>
      <c r="AW10" s="42"/>
      <c r="AX10" s="42"/>
      <c r="AY10" s="42"/>
      <c r="AZ10" s="43"/>
      <c r="BA10" s="25" t="str">
        <f t="shared" si="0"/>
        <v/>
      </c>
      <c r="BB10" s="17" t="str">
        <f t="shared" si="1"/>
        <v/>
      </c>
      <c r="BC10" s="17" t="str">
        <f t="shared" si="2"/>
        <v/>
      </c>
      <c r="BD10" s="17" t="str">
        <f t="shared" si="3"/>
        <v/>
      </c>
      <c r="BE10" s="26" t="str">
        <f t="shared" si="4"/>
        <v/>
      </c>
    </row>
    <row r="11" spans="1:61" ht="12" customHeight="1" x14ac:dyDescent="0.4">
      <c r="A11" s="37">
        <v>4</v>
      </c>
      <c r="B11" s="18">
        <f>'C. FILIACION'!B11</f>
        <v>0</v>
      </c>
      <c r="C11" s="42"/>
      <c r="D11" s="42"/>
      <c r="E11" s="42"/>
      <c r="F11" s="42"/>
      <c r="G11" s="42"/>
      <c r="H11" s="42"/>
      <c r="I11" s="42"/>
      <c r="J11" s="42"/>
      <c r="K11" s="42"/>
      <c r="L11" s="42"/>
      <c r="M11" s="42"/>
      <c r="N11" s="42"/>
      <c r="O11" s="42"/>
      <c r="P11" s="42"/>
      <c r="Q11" s="42"/>
      <c r="R11" s="42"/>
      <c r="S11" s="42"/>
      <c r="T11" s="42"/>
      <c r="U11" s="42"/>
      <c r="V11" s="42"/>
      <c r="W11" s="42"/>
      <c r="X11" s="42"/>
      <c r="Y11" s="42"/>
      <c r="Z11" s="42"/>
      <c r="AA11" s="42"/>
      <c r="AB11" s="42"/>
      <c r="AC11" s="42"/>
      <c r="AD11" s="42"/>
      <c r="AE11" s="42"/>
      <c r="AF11" s="42"/>
      <c r="AG11" s="42"/>
      <c r="AH11" s="42"/>
      <c r="AI11" s="42"/>
      <c r="AJ11" s="42"/>
      <c r="AK11" s="42"/>
      <c r="AL11" s="42"/>
      <c r="AM11" s="42"/>
      <c r="AN11" s="42"/>
      <c r="AO11" s="42"/>
      <c r="AP11" s="42"/>
      <c r="AQ11" s="42"/>
      <c r="AR11" s="42"/>
      <c r="AS11" s="42"/>
      <c r="AT11" s="42"/>
      <c r="AU11" s="42"/>
      <c r="AV11" s="42"/>
      <c r="AW11" s="42"/>
      <c r="AX11" s="42"/>
      <c r="AY11" s="42"/>
      <c r="AZ11" s="43"/>
      <c r="BA11" s="25" t="str">
        <f t="shared" si="0"/>
        <v/>
      </c>
      <c r="BB11" s="17" t="str">
        <f t="shared" si="1"/>
        <v/>
      </c>
      <c r="BC11" s="17" t="str">
        <f t="shared" si="2"/>
        <v/>
      </c>
      <c r="BD11" s="17" t="str">
        <f t="shared" si="3"/>
        <v/>
      </c>
      <c r="BE11" s="26" t="str">
        <f t="shared" si="4"/>
        <v/>
      </c>
    </row>
    <row r="12" spans="1:61" ht="12" customHeight="1" x14ac:dyDescent="0.4">
      <c r="A12" s="37">
        <v>5</v>
      </c>
      <c r="B12" s="18">
        <f>'C. FILIACION'!B12</f>
        <v>0</v>
      </c>
      <c r="C12" s="42"/>
      <c r="D12" s="42"/>
      <c r="E12" s="42"/>
      <c r="F12" s="42"/>
      <c r="G12" s="42"/>
      <c r="H12" s="42"/>
      <c r="I12" s="42"/>
      <c r="J12" s="42"/>
      <c r="K12" s="42"/>
      <c r="L12" s="42"/>
      <c r="M12" s="42"/>
      <c r="N12" s="42"/>
      <c r="O12" s="42"/>
      <c r="P12" s="42"/>
      <c r="Q12" s="42"/>
      <c r="R12" s="42"/>
      <c r="S12" s="42"/>
      <c r="T12" s="42"/>
      <c r="U12" s="42"/>
      <c r="V12" s="42"/>
      <c r="W12" s="42"/>
      <c r="X12" s="42"/>
      <c r="Y12" s="42"/>
      <c r="Z12" s="42"/>
      <c r="AA12" s="42"/>
      <c r="AB12" s="42"/>
      <c r="AC12" s="42"/>
      <c r="AD12" s="42"/>
      <c r="AE12" s="42"/>
      <c r="AF12" s="42"/>
      <c r="AG12" s="42"/>
      <c r="AH12" s="42"/>
      <c r="AI12" s="42"/>
      <c r="AJ12" s="42"/>
      <c r="AK12" s="42"/>
      <c r="AL12" s="42"/>
      <c r="AM12" s="42"/>
      <c r="AN12" s="42"/>
      <c r="AO12" s="42"/>
      <c r="AP12" s="42"/>
      <c r="AQ12" s="42"/>
      <c r="AR12" s="42"/>
      <c r="AS12" s="42"/>
      <c r="AT12" s="42"/>
      <c r="AU12" s="42"/>
      <c r="AV12" s="42"/>
      <c r="AW12" s="42"/>
      <c r="AX12" s="42"/>
      <c r="AY12" s="42"/>
      <c r="AZ12" s="43"/>
      <c r="BA12" s="25" t="str">
        <f t="shared" si="0"/>
        <v/>
      </c>
      <c r="BB12" s="17" t="str">
        <f t="shared" si="1"/>
        <v/>
      </c>
      <c r="BC12" s="17" t="str">
        <f t="shared" si="2"/>
        <v/>
      </c>
      <c r="BD12" s="17" t="str">
        <f t="shared" si="3"/>
        <v/>
      </c>
      <c r="BE12" s="26" t="str">
        <f t="shared" si="4"/>
        <v/>
      </c>
    </row>
    <row r="13" spans="1:61" ht="12" customHeight="1" x14ac:dyDescent="0.4">
      <c r="A13" s="37">
        <v>6</v>
      </c>
      <c r="B13" s="18">
        <f>'C. FILIACION'!B13</f>
        <v>0</v>
      </c>
      <c r="C13" s="42"/>
      <c r="D13" s="42"/>
      <c r="E13" s="42"/>
      <c r="F13" s="42"/>
      <c r="G13" s="42"/>
      <c r="H13" s="42"/>
      <c r="I13" s="42"/>
      <c r="J13" s="42"/>
      <c r="K13" s="42"/>
      <c r="L13" s="42"/>
      <c r="M13" s="42"/>
      <c r="N13" s="42"/>
      <c r="O13" s="42"/>
      <c r="P13" s="42"/>
      <c r="Q13" s="42"/>
      <c r="R13" s="42"/>
      <c r="S13" s="42"/>
      <c r="T13" s="42"/>
      <c r="U13" s="42"/>
      <c r="V13" s="42"/>
      <c r="W13" s="42"/>
      <c r="X13" s="42"/>
      <c r="Y13" s="42"/>
      <c r="Z13" s="42"/>
      <c r="AA13" s="42"/>
      <c r="AB13" s="42"/>
      <c r="AC13" s="42"/>
      <c r="AD13" s="42"/>
      <c r="AE13" s="42"/>
      <c r="AF13" s="42"/>
      <c r="AG13" s="42"/>
      <c r="AH13" s="42"/>
      <c r="AI13" s="42"/>
      <c r="AJ13" s="42"/>
      <c r="AK13" s="42"/>
      <c r="AL13" s="42"/>
      <c r="AM13" s="42"/>
      <c r="AN13" s="42"/>
      <c r="AO13" s="42"/>
      <c r="AP13" s="42"/>
      <c r="AQ13" s="42"/>
      <c r="AR13" s="42"/>
      <c r="AS13" s="42"/>
      <c r="AT13" s="42"/>
      <c r="AU13" s="42"/>
      <c r="AV13" s="42"/>
      <c r="AW13" s="42"/>
      <c r="AX13" s="42"/>
      <c r="AY13" s="42"/>
      <c r="AZ13" s="43"/>
      <c r="BA13" s="25" t="str">
        <f t="shared" si="0"/>
        <v/>
      </c>
      <c r="BB13" s="17" t="str">
        <f t="shared" si="1"/>
        <v/>
      </c>
      <c r="BC13" s="17" t="str">
        <f t="shared" si="2"/>
        <v/>
      </c>
      <c r="BD13" s="17" t="str">
        <f t="shared" si="3"/>
        <v/>
      </c>
      <c r="BE13" s="26" t="str">
        <f t="shared" si="4"/>
        <v/>
      </c>
    </row>
    <row r="14" spans="1:61" ht="12" customHeight="1" x14ac:dyDescent="0.4">
      <c r="A14" s="37">
        <v>7</v>
      </c>
      <c r="B14" s="18">
        <f>'C. FILIACION'!B14</f>
        <v>0</v>
      </c>
      <c r="C14" s="42"/>
      <c r="D14" s="42"/>
      <c r="E14" s="42"/>
      <c r="F14" s="42"/>
      <c r="G14" s="42"/>
      <c r="H14" s="42"/>
      <c r="I14" s="42"/>
      <c r="J14" s="42"/>
      <c r="K14" s="42"/>
      <c r="L14" s="42"/>
      <c r="M14" s="42"/>
      <c r="N14" s="42"/>
      <c r="O14" s="42"/>
      <c r="P14" s="42"/>
      <c r="Q14" s="42"/>
      <c r="R14" s="42"/>
      <c r="S14" s="42"/>
      <c r="T14" s="42"/>
      <c r="U14" s="42"/>
      <c r="V14" s="42"/>
      <c r="W14" s="42"/>
      <c r="X14" s="42"/>
      <c r="Y14" s="42"/>
      <c r="Z14" s="42"/>
      <c r="AA14" s="42"/>
      <c r="AB14" s="42"/>
      <c r="AC14" s="42"/>
      <c r="AD14" s="42"/>
      <c r="AE14" s="42"/>
      <c r="AF14" s="42"/>
      <c r="AG14" s="42"/>
      <c r="AH14" s="42"/>
      <c r="AI14" s="42"/>
      <c r="AJ14" s="42"/>
      <c r="AK14" s="42"/>
      <c r="AL14" s="42"/>
      <c r="AM14" s="42"/>
      <c r="AN14" s="42"/>
      <c r="AO14" s="42"/>
      <c r="AP14" s="42"/>
      <c r="AQ14" s="42"/>
      <c r="AR14" s="42"/>
      <c r="AS14" s="42"/>
      <c r="AT14" s="42"/>
      <c r="AU14" s="42"/>
      <c r="AV14" s="42"/>
      <c r="AW14" s="42"/>
      <c r="AX14" s="42"/>
      <c r="AY14" s="42"/>
      <c r="AZ14" s="43"/>
      <c r="BA14" s="25" t="str">
        <f t="shared" si="0"/>
        <v/>
      </c>
      <c r="BB14" s="17" t="str">
        <f t="shared" si="1"/>
        <v/>
      </c>
      <c r="BC14" s="17" t="str">
        <f t="shared" si="2"/>
        <v/>
      </c>
      <c r="BD14" s="17" t="str">
        <f t="shared" si="3"/>
        <v/>
      </c>
      <c r="BE14" s="26" t="str">
        <f t="shared" si="4"/>
        <v/>
      </c>
    </row>
    <row r="15" spans="1:61" ht="12" customHeight="1" x14ac:dyDescent="0.4">
      <c r="A15" s="37">
        <v>8</v>
      </c>
      <c r="B15" s="18">
        <f>'C. FILIACION'!B15</f>
        <v>0</v>
      </c>
      <c r="C15" s="42"/>
      <c r="D15" s="42"/>
      <c r="E15" s="42"/>
      <c r="F15" s="42"/>
      <c r="G15" s="42"/>
      <c r="H15" s="42"/>
      <c r="I15" s="42"/>
      <c r="J15" s="42"/>
      <c r="K15" s="42"/>
      <c r="L15" s="42"/>
      <c r="M15" s="42"/>
      <c r="N15" s="42"/>
      <c r="O15" s="42"/>
      <c r="P15" s="42"/>
      <c r="Q15" s="42"/>
      <c r="R15" s="42"/>
      <c r="S15" s="42"/>
      <c r="T15" s="42"/>
      <c r="U15" s="42"/>
      <c r="V15" s="42"/>
      <c r="W15" s="42"/>
      <c r="X15" s="42"/>
      <c r="Y15" s="42"/>
      <c r="Z15" s="42"/>
      <c r="AA15" s="42"/>
      <c r="AB15" s="42"/>
      <c r="AC15" s="42"/>
      <c r="AD15" s="42"/>
      <c r="AE15" s="42"/>
      <c r="AF15" s="42"/>
      <c r="AG15" s="42"/>
      <c r="AH15" s="42"/>
      <c r="AI15" s="42"/>
      <c r="AJ15" s="42"/>
      <c r="AK15" s="42"/>
      <c r="AL15" s="42"/>
      <c r="AM15" s="42"/>
      <c r="AN15" s="42"/>
      <c r="AO15" s="42"/>
      <c r="AP15" s="42"/>
      <c r="AQ15" s="42"/>
      <c r="AR15" s="42"/>
      <c r="AS15" s="42"/>
      <c r="AT15" s="42"/>
      <c r="AU15" s="42"/>
      <c r="AV15" s="42"/>
      <c r="AW15" s="42"/>
      <c r="AX15" s="42"/>
      <c r="AY15" s="42"/>
      <c r="AZ15" s="43"/>
      <c r="BA15" s="25" t="str">
        <f t="shared" si="0"/>
        <v/>
      </c>
      <c r="BB15" s="17" t="str">
        <f t="shared" si="1"/>
        <v/>
      </c>
      <c r="BC15" s="17" t="str">
        <f t="shared" si="2"/>
        <v/>
      </c>
      <c r="BD15" s="17" t="str">
        <f t="shared" si="3"/>
        <v/>
      </c>
      <c r="BE15" s="26" t="str">
        <f t="shared" si="4"/>
        <v/>
      </c>
    </row>
    <row r="16" spans="1:61" ht="12" customHeight="1" x14ac:dyDescent="0.4">
      <c r="A16" s="37">
        <v>9</v>
      </c>
      <c r="B16" s="18">
        <f>'C. FILIACION'!B16</f>
        <v>0</v>
      </c>
      <c r="C16" s="42"/>
      <c r="D16" s="42"/>
      <c r="E16" s="42"/>
      <c r="F16" s="42"/>
      <c r="G16" s="42"/>
      <c r="H16" s="42"/>
      <c r="I16" s="42"/>
      <c r="J16" s="42"/>
      <c r="K16" s="42"/>
      <c r="L16" s="42"/>
      <c r="M16" s="42"/>
      <c r="N16" s="42"/>
      <c r="O16" s="42"/>
      <c r="P16" s="42"/>
      <c r="Q16" s="42"/>
      <c r="R16" s="42"/>
      <c r="S16" s="42"/>
      <c r="T16" s="42"/>
      <c r="U16" s="42"/>
      <c r="V16" s="42"/>
      <c r="W16" s="42"/>
      <c r="X16" s="42"/>
      <c r="Y16" s="42"/>
      <c r="Z16" s="42"/>
      <c r="AA16" s="42"/>
      <c r="AB16" s="42"/>
      <c r="AC16" s="42"/>
      <c r="AD16" s="42"/>
      <c r="AE16" s="42"/>
      <c r="AF16" s="42"/>
      <c r="AG16" s="42"/>
      <c r="AH16" s="42"/>
      <c r="AI16" s="42"/>
      <c r="AJ16" s="42"/>
      <c r="AK16" s="42"/>
      <c r="AL16" s="42"/>
      <c r="AM16" s="42"/>
      <c r="AN16" s="42"/>
      <c r="AO16" s="42"/>
      <c r="AP16" s="42"/>
      <c r="AQ16" s="42"/>
      <c r="AR16" s="42"/>
      <c r="AS16" s="42"/>
      <c r="AT16" s="42"/>
      <c r="AU16" s="42"/>
      <c r="AV16" s="42"/>
      <c r="AW16" s="42"/>
      <c r="AX16" s="42"/>
      <c r="AY16" s="42"/>
      <c r="AZ16" s="43"/>
      <c r="BA16" s="25" t="str">
        <f t="shared" si="0"/>
        <v/>
      </c>
      <c r="BB16" s="17" t="str">
        <f t="shared" si="1"/>
        <v/>
      </c>
      <c r="BC16" s="17" t="str">
        <f t="shared" si="2"/>
        <v/>
      </c>
      <c r="BD16" s="17" t="str">
        <f t="shared" si="3"/>
        <v/>
      </c>
      <c r="BE16" s="26" t="str">
        <f t="shared" si="4"/>
        <v/>
      </c>
    </row>
    <row r="17" spans="1:57" ht="12" customHeight="1" x14ac:dyDescent="0.4">
      <c r="A17" s="37">
        <v>10</v>
      </c>
      <c r="B17" s="18">
        <f>'C. FILIACION'!B17</f>
        <v>0</v>
      </c>
      <c r="C17" s="42"/>
      <c r="D17" s="42"/>
      <c r="E17" s="42"/>
      <c r="F17" s="42"/>
      <c r="G17" s="42"/>
      <c r="H17" s="42"/>
      <c r="I17" s="42"/>
      <c r="J17" s="42"/>
      <c r="K17" s="42"/>
      <c r="L17" s="42"/>
      <c r="M17" s="42"/>
      <c r="N17" s="42"/>
      <c r="O17" s="42"/>
      <c r="P17" s="42"/>
      <c r="Q17" s="42"/>
      <c r="R17" s="42"/>
      <c r="S17" s="42"/>
      <c r="T17" s="42"/>
      <c r="U17" s="42"/>
      <c r="V17" s="42"/>
      <c r="W17" s="42"/>
      <c r="X17" s="42"/>
      <c r="Y17" s="42"/>
      <c r="Z17" s="42"/>
      <c r="AA17" s="42"/>
      <c r="AB17" s="42"/>
      <c r="AC17" s="42"/>
      <c r="AD17" s="42"/>
      <c r="AE17" s="42"/>
      <c r="AF17" s="42"/>
      <c r="AG17" s="42"/>
      <c r="AH17" s="42"/>
      <c r="AI17" s="42"/>
      <c r="AJ17" s="42"/>
      <c r="AK17" s="42"/>
      <c r="AL17" s="42"/>
      <c r="AM17" s="42"/>
      <c r="AN17" s="42"/>
      <c r="AO17" s="42"/>
      <c r="AP17" s="42"/>
      <c r="AQ17" s="42"/>
      <c r="AR17" s="42"/>
      <c r="AS17" s="42"/>
      <c r="AT17" s="42"/>
      <c r="AU17" s="42"/>
      <c r="AV17" s="42"/>
      <c r="AW17" s="42"/>
      <c r="AX17" s="42"/>
      <c r="AY17" s="42"/>
      <c r="AZ17" s="43"/>
      <c r="BA17" s="25" t="str">
        <f t="shared" si="0"/>
        <v/>
      </c>
      <c r="BB17" s="17" t="str">
        <f t="shared" si="1"/>
        <v/>
      </c>
      <c r="BC17" s="17" t="str">
        <f t="shared" si="2"/>
        <v/>
      </c>
      <c r="BD17" s="17" t="str">
        <f t="shared" si="3"/>
        <v/>
      </c>
      <c r="BE17" s="26" t="str">
        <f t="shared" si="4"/>
        <v/>
      </c>
    </row>
    <row r="18" spans="1:57" ht="12" customHeight="1" x14ac:dyDescent="0.4">
      <c r="A18" s="37">
        <v>11</v>
      </c>
      <c r="B18" s="18">
        <f>'C. FILIACION'!B18</f>
        <v>0</v>
      </c>
      <c r="C18" s="42"/>
      <c r="D18" s="42"/>
      <c r="E18" s="42"/>
      <c r="F18" s="42"/>
      <c r="G18" s="42"/>
      <c r="H18" s="42"/>
      <c r="I18" s="42"/>
      <c r="J18" s="42"/>
      <c r="K18" s="42"/>
      <c r="L18" s="42"/>
      <c r="M18" s="42"/>
      <c r="N18" s="42"/>
      <c r="O18" s="42"/>
      <c r="P18" s="42"/>
      <c r="Q18" s="42"/>
      <c r="R18" s="42"/>
      <c r="S18" s="42"/>
      <c r="T18" s="42"/>
      <c r="U18" s="42"/>
      <c r="V18" s="42"/>
      <c r="W18" s="42"/>
      <c r="X18" s="42"/>
      <c r="Y18" s="42"/>
      <c r="Z18" s="42"/>
      <c r="AA18" s="42"/>
      <c r="AB18" s="42"/>
      <c r="AC18" s="42"/>
      <c r="AD18" s="42"/>
      <c r="AE18" s="42"/>
      <c r="AF18" s="42"/>
      <c r="AG18" s="42"/>
      <c r="AH18" s="42"/>
      <c r="AI18" s="42"/>
      <c r="AJ18" s="42"/>
      <c r="AK18" s="42"/>
      <c r="AL18" s="42"/>
      <c r="AM18" s="42"/>
      <c r="AN18" s="42"/>
      <c r="AO18" s="42"/>
      <c r="AP18" s="42"/>
      <c r="AQ18" s="42"/>
      <c r="AR18" s="42"/>
      <c r="AS18" s="42"/>
      <c r="AT18" s="42"/>
      <c r="AU18" s="42"/>
      <c r="AV18" s="42"/>
      <c r="AW18" s="42"/>
      <c r="AX18" s="42"/>
      <c r="AY18" s="42"/>
      <c r="AZ18" s="43"/>
      <c r="BA18" s="25" t="str">
        <f t="shared" si="0"/>
        <v/>
      </c>
      <c r="BB18" s="17" t="str">
        <f t="shared" si="1"/>
        <v/>
      </c>
      <c r="BC18" s="17" t="str">
        <f t="shared" si="2"/>
        <v/>
      </c>
      <c r="BD18" s="17" t="str">
        <f t="shared" si="3"/>
        <v/>
      </c>
      <c r="BE18" s="26" t="str">
        <f t="shared" si="4"/>
        <v/>
      </c>
    </row>
    <row r="19" spans="1:57" ht="12" customHeight="1" x14ac:dyDescent="0.4">
      <c r="A19" s="37">
        <v>12</v>
      </c>
      <c r="B19" s="18">
        <f>'C. FILIACION'!B19</f>
        <v>0</v>
      </c>
      <c r="C19" s="42"/>
      <c r="D19" s="42"/>
      <c r="E19" s="42"/>
      <c r="F19" s="42"/>
      <c r="G19" s="42"/>
      <c r="H19" s="42"/>
      <c r="I19" s="42"/>
      <c r="J19" s="42"/>
      <c r="K19" s="42"/>
      <c r="L19" s="42"/>
      <c r="M19" s="42"/>
      <c r="N19" s="42"/>
      <c r="O19" s="42"/>
      <c r="P19" s="42"/>
      <c r="Q19" s="42"/>
      <c r="R19" s="42"/>
      <c r="S19" s="42"/>
      <c r="T19" s="42"/>
      <c r="U19" s="42"/>
      <c r="V19" s="42"/>
      <c r="W19" s="42"/>
      <c r="X19" s="42"/>
      <c r="Y19" s="42"/>
      <c r="Z19" s="42"/>
      <c r="AA19" s="42"/>
      <c r="AB19" s="42"/>
      <c r="AC19" s="42"/>
      <c r="AD19" s="42"/>
      <c r="AE19" s="42"/>
      <c r="AF19" s="42"/>
      <c r="AG19" s="42"/>
      <c r="AH19" s="42"/>
      <c r="AI19" s="42"/>
      <c r="AJ19" s="42"/>
      <c r="AK19" s="42"/>
      <c r="AL19" s="42"/>
      <c r="AM19" s="42"/>
      <c r="AN19" s="42"/>
      <c r="AO19" s="42"/>
      <c r="AP19" s="42"/>
      <c r="AQ19" s="42"/>
      <c r="AR19" s="42"/>
      <c r="AS19" s="42"/>
      <c r="AT19" s="42"/>
      <c r="AU19" s="42"/>
      <c r="AV19" s="42"/>
      <c r="AW19" s="42"/>
      <c r="AX19" s="42"/>
      <c r="AY19" s="42"/>
      <c r="AZ19" s="43"/>
      <c r="BA19" s="25" t="str">
        <f t="shared" si="0"/>
        <v/>
      </c>
      <c r="BB19" s="17" t="str">
        <f t="shared" si="1"/>
        <v/>
      </c>
      <c r="BC19" s="17" t="str">
        <f t="shared" si="2"/>
        <v/>
      </c>
      <c r="BD19" s="17" t="str">
        <f t="shared" si="3"/>
        <v/>
      </c>
      <c r="BE19" s="26" t="str">
        <f t="shared" si="4"/>
        <v/>
      </c>
    </row>
    <row r="20" spans="1:57" ht="12" customHeight="1" x14ac:dyDescent="0.4">
      <c r="A20" s="37">
        <v>13</v>
      </c>
      <c r="B20" s="18">
        <f>'C. FILIACION'!B20</f>
        <v>0</v>
      </c>
      <c r="C20" s="42"/>
      <c r="D20" s="42"/>
      <c r="E20" s="42"/>
      <c r="F20" s="42"/>
      <c r="G20" s="42"/>
      <c r="H20" s="42"/>
      <c r="I20" s="42"/>
      <c r="J20" s="42"/>
      <c r="K20" s="42"/>
      <c r="L20" s="42"/>
      <c r="M20" s="42"/>
      <c r="N20" s="42"/>
      <c r="O20" s="42"/>
      <c r="P20" s="42"/>
      <c r="Q20" s="42"/>
      <c r="R20" s="42"/>
      <c r="S20" s="42"/>
      <c r="T20" s="42"/>
      <c r="U20" s="42"/>
      <c r="V20" s="42"/>
      <c r="W20" s="42"/>
      <c r="X20" s="42"/>
      <c r="Y20" s="42"/>
      <c r="Z20" s="42"/>
      <c r="AA20" s="42"/>
      <c r="AB20" s="42"/>
      <c r="AC20" s="42"/>
      <c r="AD20" s="42"/>
      <c r="AE20" s="42"/>
      <c r="AF20" s="42"/>
      <c r="AG20" s="42"/>
      <c r="AH20" s="42"/>
      <c r="AI20" s="42"/>
      <c r="AJ20" s="42"/>
      <c r="AK20" s="42"/>
      <c r="AL20" s="42"/>
      <c r="AM20" s="42"/>
      <c r="AN20" s="42"/>
      <c r="AO20" s="42"/>
      <c r="AP20" s="42"/>
      <c r="AQ20" s="42"/>
      <c r="AR20" s="42"/>
      <c r="AS20" s="42"/>
      <c r="AT20" s="42"/>
      <c r="AU20" s="42"/>
      <c r="AV20" s="42"/>
      <c r="AW20" s="42"/>
      <c r="AX20" s="42"/>
      <c r="AY20" s="42"/>
      <c r="AZ20" s="43"/>
      <c r="BA20" s="25" t="str">
        <f t="shared" si="0"/>
        <v/>
      </c>
      <c r="BB20" s="17" t="str">
        <f t="shared" si="1"/>
        <v/>
      </c>
      <c r="BC20" s="17" t="str">
        <f t="shared" si="2"/>
        <v/>
      </c>
      <c r="BD20" s="17" t="str">
        <f t="shared" si="3"/>
        <v/>
      </c>
      <c r="BE20" s="26" t="str">
        <f t="shared" si="4"/>
        <v/>
      </c>
    </row>
    <row r="21" spans="1:57" ht="12" customHeight="1" x14ac:dyDescent="0.4">
      <c r="A21" s="37">
        <v>14</v>
      </c>
      <c r="B21" s="18">
        <f>'C. FILIACION'!B21</f>
        <v>0</v>
      </c>
      <c r="C21" s="42"/>
      <c r="D21" s="42"/>
      <c r="E21" s="42"/>
      <c r="F21" s="42"/>
      <c r="G21" s="42"/>
      <c r="H21" s="42"/>
      <c r="I21" s="42"/>
      <c r="J21" s="42"/>
      <c r="K21" s="42"/>
      <c r="L21" s="42"/>
      <c r="M21" s="42"/>
      <c r="N21" s="42"/>
      <c r="O21" s="42"/>
      <c r="P21" s="42"/>
      <c r="Q21" s="42"/>
      <c r="R21" s="42"/>
      <c r="S21" s="42"/>
      <c r="T21" s="42"/>
      <c r="U21" s="42"/>
      <c r="V21" s="42"/>
      <c r="W21" s="42"/>
      <c r="X21" s="42"/>
      <c r="Y21" s="42"/>
      <c r="Z21" s="42"/>
      <c r="AA21" s="42"/>
      <c r="AB21" s="42"/>
      <c r="AC21" s="42"/>
      <c r="AD21" s="42"/>
      <c r="AE21" s="42"/>
      <c r="AF21" s="42"/>
      <c r="AG21" s="42"/>
      <c r="AH21" s="42"/>
      <c r="AI21" s="42"/>
      <c r="AJ21" s="42"/>
      <c r="AK21" s="42"/>
      <c r="AL21" s="42"/>
      <c r="AM21" s="42"/>
      <c r="AN21" s="42"/>
      <c r="AO21" s="42"/>
      <c r="AP21" s="42"/>
      <c r="AQ21" s="42"/>
      <c r="AR21" s="42"/>
      <c r="AS21" s="42"/>
      <c r="AT21" s="42"/>
      <c r="AU21" s="42"/>
      <c r="AV21" s="42"/>
      <c r="AW21" s="42"/>
      <c r="AX21" s="42"/>
      <c r="AY21" s="42"/>
      <c r="AZ21" s="43"/>
      <c r="BA21" s="25" t="str">
        <f t="shared" si="0"/>
        <v/>
      </c>
      <c r="BB21" s="17" t="str">
        <f t="shared" si="1"/>
        <v/>
      </c>
      <c r="BC21" s="17" t="str">
        <f t="shared" si="2"/>
        <v/>
      </c>
      <c r="BD21" s="17" t="str">
        <f t="shared" si="3"/>
        <v/>
      </c>
      <c r="BE21" s="26" t="str">
        <f t="shared" si="4"/>
        <v/>
      </c>
    </row>
    <row r="22" spans="1:57" ht="12" customHeight="1" x14ac:dyDescent="0.4">
      <c r="A22" s="37">
        <v>15</v>
      </c>
      <c r="B22" s="18">
        <f>'C. FILIACION'!B22</f>
        <v>0</v>
      </c>
      <c r="C22" s="42"/>
      <c r="D22" s="42"/>
      <c r="E22" s="42"/>
      <c r="F22" s="42"/>
      <c r="G22" s="42"/>
      <c r="H22" s="42"/>
      <c r="I22" s="42"/>
      <c r="J22" s="42"/>
      <c r="K22" s="42"/>
      <c r="L22" s="42"/>
      <c r="M22" s="42"/>
      <c r="N22" s="42"/>
      <c r="O22" s="42"/>
      <c r="P22" s="42"/>
      <c r="Q22" s="42"/>
      <c r="R22" s="42"/>
      <c r="S22" s="42"/>
      <c r="T22" s="42"/>
      <c r="U22" s="42"/>
      <c r="V22" s="42"/>
      <c r="W22" s="42"/>
      <c r="X22" s="42"/>
      <c r="Y22" s="42"/>
      <c r="Z22" s="42"/>
      <c r="AA22" s="42"/>
      <c r="AB22" s="42"/>
      <c r="AC22" s="42"/>
      <c r="AD22" s="42"/>
      <c r="AE22" s="42"/>
      <c r="AF22" s="42"/>
      <c r="AG22" s="42"/>
      <c r="AH22" s="42"/>
      <c r="AI22" s="42"/>
      <c r="AJ22" s="42"/>
      <c r="AK22" s="42"/>
      <c r="AL22" s="42"/>
      <c r="AM22" s="42"/>
      <c r="AN22" s="42"/>
      <c r="AO22" s="42"/>
      <c r="AP22" s="42"/>
      <c r="AQ22" s="42"/>
      <c r="AR22" s="42"/>
      <c r="AS22" s="42"/>
      <c r="AT22" s="42"/>
      <c r="AU22" s="42"/>
      <c r="AV22" s="42"/>
      <c r="AW22" s="42"/>
      <c r="AX22" s="42"/>
      <c r="AY22" s="42"/>
      <c r="AZ22" s="43"/>
      <c r="BA22" s="25" t="str">
        <f t="shared" si="0"/>
        <v/>
      </c>
      <c r="BB22" s="17" t="str">
        <f t="shared" si="1"/>
        <v/>
      </c>
      <c r="BC22" s="17" t="str">
        <f t="shared" si="2"/>
        <v/>
      </c>
      <c r="BD22" s="17" t="str">
        <f t="shared" si="3"/>
        <v/>
      </c>
      <c r="BE22" s="26" t="str">
        <f t="shared" si="4"/>
        <v/>
      </c>
    </row>
    <row r="23" spans="1:57" ht="12" customHeight="1" x14ac:dyDescent="0.4">
      <c r="A23" s="37">
        <v>16</v>
      </c>
      <c r="B23" s="18">
        <f>'C. FILIACION'!B23</f>
        <v>0</v>
      </c>
      <c r="C23" s="42"/>
      <c r="D23" s="42"/>
      <c r="E23" s="42"/>
      <c r="F23" s="42"/>
      <c r="G23" s="42"/>
      <c r="H23" s="42"/>
      <c r="I23" s="42"/>
      <c r="J23" s="42"/>
      <c r="K23" s="42"/>
      <c r="L23" s="42"/>
      <c r="M23" s="42"/>
      <c r="N23" s="42"/>
      <c r="O23" s="42"/>
      <c r="P23" s="42"/>
      <c r="Q23" s="42"/>
      <c r="R23" s="42"/>
      <c r="S23" s="42"/>
      <c r="T23" s="42"/>
      <c r="U23" s="42"/>
      <c r="V23" s="42"/>
      <c r="W23" s="42"/>
      <c r="X23" s="42"/>
      <c r="Y23" s="42"/>
      <c r="Z23" s="42"/>
      <c r="AA23" s="42"/>
      <c r="AB23" s="42"/>
      <c r="AC23" s="42"/>
      <c r="AD23" s="42"/>
      <c r="AE23" s="42"/>
      <c r="AF23" s="42"/>
      <c r="AG23" s="42"/>
      <c r="AH23" s="42"/>
      <c r="AI23" s="42"/>
      <c r="AJ23" s="42"/>
      <c r="AK23" s="42"/>
      <c r="AL23" s="42"/>
      <c r="AM23" s="42"/>
      <c r="AN23" s="42"/>
      <c r="AO23" s="42"/>
      <c r="AP23" s="42"/>
      <c r="AQ23" s="42"/>
      <c r="AR23" s="42"/>
      <c r="AS23" s="42"/>
      <c r="AT23" s="42"/>
      <c r="AU23" s="42"/>
      <c r="AV23" s="42"/>
      <c r="AW23" s="42"/>
      <c r="AX23" s="42"/>
      <c r="AY23" s="42"/>
      <c r="AZ23" s="43"/>
      <c r="BA23" s="25" t="str">
        <f t="shared" si="0"/>
        <v/>
      </c>
      <c r="BB23" s="17" t="str">
        <f t="shared" si="1"/>
        <v/>
      </c>
      <c r="BC23" s="17" t="str">
        <f t="shared" si="2"/>
        <v/>
      </c>
      <c r="BD23" s="17" t="str">
        <f t="shared" si="3"/>
        <v/>
      </c>
      <c r="BE23" s="26" t="str">
        <f t="shared" si="4"/>
        <v/>
      </c>
    </row>
    <row r="24" spans="1:57" ht="12" customHeight="1" x14ac:dyDescent="0.4">
      <c r="A24" s="37">
        <v>17</v>
      </c>
      <c r="B24" s="18">
        <f>'C. FILIACION'!B24</f>
        <v>0</v>
      </c>
      <c r="C24" s="42"/>
      <c r="D24" s="42"/>
      <c r="E24" s="42"/>
      <c r="F24" s="42"/>
      <c r="G24" s="42"/>
      <c r="H24" s="42"/>
      <c r="I24" s="42"/>
      <c r="J24" s="42"/>
      <c r="K24" s="42"/>
      <c r="L24" s="42"/>
      <c r="M24" s="42"/>
      <c r="N24" s="42"/>
      <c r="O24" s="42"/>
      <c r="P24" s="42"/>
      <c r="Q24" s="42"/>
      <c r="R24" s="42"/>
      <c r="S24" s="42"/>
      <c r="T24" s="42"/>
      <c r="U24" s="42"/>
      <c r="V24" s="42"/>
      <c r="W24" s="42"/>
      <c r="X24" s="42"/>
      <c r="Y24" s="42"/>
      <c r="Z24" s="42"/>
      <c r="AA24" s="42"/>
      <c r="AB24" s="42"/>
      <c r="AC24" s="42"/>
      <c r="AD24" s="42"/>
      <c r="AE24" s="42"/>
      <c r="AF24" s="42"/>
      <c r="AG24" s="42"/>
      <c r="AH24" s="42"/>
      <c r="AI24" s="42"/>
      <c r="AJ24" s="42"/>
      <c r="AK24" s="42"/>
      <c r="AL24" s="42"/>
      <c r="AM24" s="42"/>
      <c r="AN24" s="42"/>
      <c r="AO24" s="42"/>
      <c r="AP24" s="42"/>
      <c r="AQ24" s="42"/>
      <c r="AR24" s="42"/>
      <c r="AS24" s="42"/>
      <c r="AT24" s="42"/>
      <c r="AU24" s="42"/>
      <c r="AV24" s="42"/>
      <c r="AW24" s="42"/>
      <c r="AX24" s="42"/>
      <c r="AY24" s="42"/>
      <c r="AZ24" s="43"/>
      <c r="BA24" s="25" t="str">
        <f t="shared" si="0"/>
        <v/>
      </c>
      <c r="BB24" s="17" t="str">
        <f t="shared" si="1"/>
        <v/>
      </c>
      <c r="BC24" s="17" t="str">
        <f t="shared" si="2"/>
        <v/>
      </c>
      <c r="BD24" s="17" t="str">
        <f t="shared" si="3"/>
        <v/>
      </c>
      <c r="BE24" s="26" t="str">
        <f t="shared" si="4"/>
        <v/>
      </c>
    </row>
    <row r="25" spans="1:57" ht="12" customHeight="1" x14ac:dyDescent="0.4">
      <c r="A25" s="37">
        <v>18</v>
      </c>
      <c r="B25" s="18">
        <f>'C. FILIACION'!B25</f>
        <v>0</v>
      </c>
      <c r="C25" s="42"/>
      <c r="D25" s="42"/>
      <c r="E25" s="42"/>
      <c r="F25" s="42"/>
      <c r="G25" s="42"/>
      <c r="H25" s="42"/>
      <c r="I25" s="42"/>
      <c r="J25" s="42"/>
      <c r="K25" s="42"/>
      <c r="L25" s="42"/>
      <c r="M25" s="42"/>
      <c r="N25" s="42"/>
      <c r="O25" s="42"/>
      <c r="P25" s="42"/>
      <c r="Q25" s="42"/>
      <c r="R25" s="42"/>
      <c r="S25" s="42"/>
      <c r="T25" s="42"/>
      <c r="U25" s="42"/>
      <c r="V25" s="42"/>
      <c r="W25" s="42"/>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42"/>
      <c r="AW25" s="42"/>
      <c r="AX25" s="42"/>
      <c r="AY25" s="42"/>
      <c r="AZ25" s="43"/>
      <c r="BA25" s="25" t="str">
        <f t="shared" si="0"/>
        <v/>
      </c>
      <c r="BB25" s="17" t="str">
        <f t="shared" si="1"/>
        <v/>
      </c>
      <c r="BC25" s="17" t="str">
        <f t="shared" si="2"/>
        <v/>
      </c>
      <c r="BD25" s="17" t="str">
        <f t="shared" si="3"/>
        <v/>
      </c>
      <c r="BE25" s="26" t="str">
        <f t="shared" si="4"/>
        <v/>
      </c>
    </row>
    <row r="26" spans="1:57" ht="12" customHeight="1" x14ac:dyDescent="0.4">
      <c r="A26" s="37">
        <v>19</v>
      </c>
      <c r="B26" s="18">
        <f>'C. FILIACION'!B26</f>
        <v>0</v>
      </c>
      <c r="C26" s="42"/>
      <c r="D26" s="42"/>
      <c r="E26" s="42"/>
      <c r="F26" s="42"/>
      <c r="G26" s="42"/>
      <c r="H26" s="42"/>
      <c r="I26" s="42"/>
      <c r="J26" s="42"/>
      <c r="K26" s="42"/>
      <c r="L26" s="42"/>
      <c r="M26" s="42"/>
      <c r="N26" s="42"/>
      <c r="O26" s="42"/>
      <c r="P26" s="42"/>
      <c r="Q26" s="42"/>
      <c r="R26" s="42"/>
      <c r="S26" s="42"/>
      <c r="T26" s="42"/>
      <c r="U26" s="42"/>
      <c r="V26" s="42"/>
      <c r="W26" s="42"/>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42"/>
      <c r="AW26" s="42"/>
      <c r="AX26" s="42"/>
      <c r="AY26" s="42"/>
      <c r="AZ26" s="43"/>
      <c r="BA26" s="25" t="str">
        <f t="shared" si="0"/>
        <v/>
      </c>
      <c r="BB26" s="17" t="str">
        <f t="shared" si="1"/>
        <v/>
      </c>
      <c r="BC26" s="17" t="str">
        <f t="shared" si="2"/>
        <v/>
      </c>
      <c r="BD26" s="17" t="str">
        <f t="shared" si="3"/>
        <v/>
      </c>
      <c r="BE26" s="26" t="str">
        <f t="shared" si="4"/>
        <v/>
      </c>
    </row>
    <row r="27" spans="1:57" ht="12" customHeight="1" x14ac:dyDescent="0.4">
      <c r="A27" s="37">
        <v>20</v>
      </c>
      <c r="B27" s="18">
        <f>'C. FILIACION'!B27</f>
        <v>0</v>
      </c>
      <c r="C27" s="42"/>
      <c r="D27" s="42"/>
      <c r="E27" s="42"/>
      <c r="F27" s="42"/>
      <c r="G27" s="42"/>
      <c r="H27" s="42"/>
      <c r="I27" s="42"/>
      <c r="J27" s="42"/>
      <c r="K27" s="42"/>
      <c r="L27" s="42"/>
      <c r="M27" s="42"/>
      <c r="N27" s="42"/>
      <c r="O27" s="42"/>
      <c r="P27" s="42"/>
      <c r="Q27" s="42"/>
      <c r="R27" s="42"/>
      <c r="S27" s="42"/>
      <c r="T27" s="42"/>
      <c r="U27" s="42"/>
      <c r="V27" s="42"/>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42"/>
      <c r="AV27" s="42"/>
      <c r="AW27" s="42"/>
      <c r="AX27" s="42"/>
      <c r="AY27" s="42"/>
      <c r="AZ27" s="43"/>
      <c r="BA27" s="25" t="str">
        <f t="shared" si="0"/>
        <v/>
      </c>
      <c r="BB27" s="17" t="str">
        <f t="shared" si="1"/>
        <v/>
      </c>
      <c r="BC27" s="17" t="str">
        <f t="shared" si="2"/>
        <v/>
      </c>
      <c r="BD27" s="17" t="str">
        <f t="shared" si="3"/>
        <v/>
      </c>
      <c r="BE27" s="26" t="str">
        <f t="shared" si="4"/>
        <v/>
      </c>
    </row>
    <row r="28" spans="1:57" ht="12" customHeight="1" x14ac:dyDescent="0.4">
      <c r="A28" s="37">
        <v>21</v>
      </c>
      <c r="B28" s="18">
        <f>'C. FILIACION'!B28</f>
        <v>0</v>
      </c>
      <c r="C28" s="42"/>
      <c r="D28" s="42"/>
      <c r="E28" s="42"/>
      <c r="F28" s="42"/>
      <c r="G28" s="42"/>
      <c r="H28" s="42"/>
      <c r="I28" s="42"/>
      <c r="J28" s="42"/>
      <c r="K28" s="42"/>
      <c r="L28" s="42"/>
      <c r="M28" s="42"/>
      <c r="N28" s="42"/>
      <c r="O28" s="42"/>
      <c r="P28" s="42"/>
      <c r="Q28" s="42"/>
      <c r="R28" s="42"/>
      <c r="S28" s="42"/>
      <c r="T28" s="42"/>
      <c r="U28" s="42"/>
      <c r="V28" s="42"/>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42"/>
      <c r="AV28" s="42"/>
      <c r="AW28" s="42"/>
      <c r="AX28" s="42"/>
      <c r="AY28" s="42"/>
      <c r="AZ28" s="43"/>
      <c r="BA28" s="25" t="str">
        <f t="shared" si="0"/>
        <v/>
      </c>
      <c r="BB28" s="17" t="str">
        <f t="shared" si="1"/>
        <v/>
      </c>
      <c r="BC28" s="17" t="str">
        <f t="shared" si="2"/>
        <v/>
      </c>
      <c r="BD28" s="17" t="str">
        <f t="shared" si="3"/>
        <v/>
      </c>
      <c r="BE28" s="26" t="str">
        <f t="shared" si="4"/>
        <v/>
      </c>
    </row>
    <row r="29" spans="1:57" ht="12" customHeight="1" x14ac:dyDescent="0.4">
      <c r="A29" s="37">
        <v>22</v>
      </c>
      <c r="B29" s="18">
        <f>'C. FILIACION'!B29</f>
        <v>0</v>
      </c>
      <c r="C29" s="42"/>
      <c r="D29" s="42"/>
      <c r="E29" s="42"/>
      <c r="F29" s="42"/>
      <c r="G29" s="42"/>
      <c r="H29" s="42"/>
      <c r="I29" s="42"/>
      <c r="J29" s="42"/>
      <c r="K29" s="42"/>
      <c r="L29" s="42"/>
      <c r="M29" s="42"/>
      <c r="N29" s="42"/>
      <c r="O29" s="42"/>
      <c r="P29" s="42"/>
      <c r="Q29" s="42"/>
      <c r="R29" s="42"/>
      <c r="S29" s="42"/>
      <c r="T29" s="42"/>
      <c r="U29" s="42"/>
      <c r="V29" s="42"/>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42"/>
      <c r="AV29" s="42"/>
      <c r="AW29" s="42"/>
      <c r="AX29" s="42"/>
      <c r="AY29" s="42"/>
      <c r="AZ29" s="43"/>
      <c r="BA29" s="25" t="str">
        <f t="shared" si="0"/>
        <v/>
      </c>
      <c r="BB29" s="17" t="str">
        <f t="shared" si="1"/>
        <v/>
      </c>
      <c r="BC29" s="17" t="str">
        <f t="shared" si="2"/>
        <v/>
      </c>
      <c r="BD29" s="17" t="str">
        <f t="shared" si="3"/>
        <v/>
      </c>
      <c r="BE29" s="26" t="str">
        <f t="shared" si="4"/>
        <v/>
      </c>
    </row>
    <row r="30" spans="1:57" ht="12" customHeight="1" x14ac:dyDescent="0.4">
      <c r="A30" s="37">
        <v>23</v>
      </c>
      <c r="B30" s="18">
        <f>'C. FILIACION'!B30</f>
        <v>0</v>
      </c>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42"/>
      <c r="AU30" s="42"/>
      <c r="AV30" s="42"/>
      <c r="AW30" s="42"/>
      <c r="AX30" s="42"/>
      <c r="AY30" s="42"/>
      <c r="AZ30" s="43"/>
      <c r="BA30" s="25" t="str">
        <f t="shared" si="0"/>
        <v/>
      </c>
      <c r="BB30" s="17" t="str">
        <f t="shared" si="1"/>
        <v/>
      </c>
      <c r="BC30" s="17" t="str">
        <f t="shared" si="2"/>
        <v/>
      </c>
      <c r="BD30" s="17" t="str">
        <f t="shared" si="3"/>
        <v/>
      </c>
      <c r="BE30" s="26" t="str">
        <f t="shared" si="4"/>
        <v/>
      </c>
    </row>
    <row r="31" spans="1:57" ht="12" customHeight="1" x14ac:dyDescent="0.4">
      <c r="A31" s="37">
        <v>24</v>
      </c>
      <c r="B31" s="18">
        <f>'C. FILIACION'!B31</f>
        <v>0</v>
      </c>
      <c r="C31" s="42"/>
      <c r="D31" s="42"/>
      <c r="E31" s="42"/>
      <c r="F31" s="42"/>
      <c r="G31" s="42"/>
      <c r="H31" s="42"/>
      <c r="I31" s="42"/>
      <c r="J31" s="42"/>
      <c r="K31" s="42"/>
      <c r="L31" s="42"/>
      <c r="M31" s="42"/>
      <c r="N31" s="42"/>
      <c r="O31" s="42"/>
      <c r="P31" s="42"/>
      <c r="Q31" s="42"/>
      <c r="R31" s="42"/>
      <c r="S31" s="42"/>
      <c r="T31" s="42"/>
      <c r="U31" s="42"/>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42"/>
      <c r="AU31" s="42"/>
      <c r="AV31" s="42"/>
      <c r="AW31" s="42"/>
      <c r="AX31" s="42"/>
      <c r="AY31" s="42"/>
      <c r="AZ31" s="43"/>
      <c r="BA31" s="25" t="str">
        <f t="shared" si="0"/>
        <v/>
      </c>
      <c r="BB31" s="17" t="str">
        <f t="shared" si="1"/>
        <v/>
      </c>
      <c r="BC31" s="17" t="str">
        <f t="shared" si="2"/>
        <v/>
      </c>
      <c r="BD31" s="17" t="str">
        <f t="shared" si="3"/>
        <v/>
      </c>
      <c r="BE31" s="26" t="str">
        <f t="shared" si="4"/>
        <v/>
      </c>
    </row>
    <row r="32" spans="1:57" ht="12" customHeight="1" x14ac:dyDescent="0.4">
      <c r="A32" s="37">
        <v>25</v>
      </c>
      <c r="B32" s="18">
        <f>'C. FILIACION'!B32</f>
        <v>0</v>
      </c>
      <c r="C32" s="42"/>
      <c r="D32" s="42"/>
      <c r="E32" s="42"/>
      <c r="F32" s="42"/>
      <c r="G32" s="42"/>
      <c r="H32" s="42"/>
      <c r="I32" s="42"/>
      <c r="J32" s="42"/>
      <c r="K32" s="42"/>
      <c r="L32" s="42"/>
      <c r="M32" s="42"/>
      <c r="N32" s="42"/>
      <c r="O32" s="42"/>
      <c r="P32" s="42"/>
      <c r="Q32" s="42"/>
      <c r="R32" s="42"/>
      <c r="S32" s="42"/>
      <c r="T32" s="42"/>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42"/>
      <c r="AT32" s="42"/>
      <c r="AU32" s="42"/>
      <c r="AV32" s="42"/>
      <c r="AW32" s="42"/>
      <c r="AX32" s="42"/>
      <c r="AY32" s="42"/>
      <c r="AZ32" s="43"/>
      <c r="BA32" s="25" t="str">
        <f t="shared" si="0"/>
        <v/>
      </c>
      <c r="BB32" s="17" t="str">
        <f t="shared" si="1"/>
        <v/>
      </c>
      <c r="BC32" s="17" t="str">
        <f t="shared" si="2"/>
        <v/>
      </c>
      <c r="BD32" s="17" t="str">
        <f t="shared" si="3"/>
        <v/>
      </c>
      <c r="BE32" s="26" t="str">
        <f t="shared" si="4"/>
        <v/>
      </c>
    </row>
    <row r="33" spans="1:57" ht="12" customHeight="1" x14ac:dyDescent="0.4">
      <c r="A33" s="37">
        <v>26</v>
      </c>
      <c r="B33" s="18">
        <f>'C. FILIACION'!B33</f>
        <v>0</v>
      </c>
      <c r="C33" s="42"/>
      <c r="D33" s="42"/>
      <c r="E33" s="42"/>
      <c r="F33" s="42"/>
      <c r="G33" s="42"/>
      <c r="H33" s="42"/>
      <c r="I33" s="42"/>
      <c r="J33" s="42"/>
      <c r="K33" s="42"/>
      <c r="L33" s="42"/>
      <c r="M33" s="42"/>
      <c r="N33" s="42"/>
      <c r="O33" s="42"/>
      <c r="P33" s="42"/>
      <c r="Q33" s="42"/>
      <c r="R33" s="42"/>
      <c r="S33" s="42"/>
      <c r="T33" s="42"/>
      <c r="U33" s="42"/>
      <c r="V33" s="42"/>
      <c r="W33" s="42"/>
      <c r="X33" s="42"/>
      <c r="Y33" s="42"/>
      <c r="Z33" s="42"/>
      <c r="AA33" s="42"/>
      <c r="AB33" s="42"/>
      <c r="AC33" s="42"/>
      <c r="AD33" s="42"/>
      <c r="AE33" s="42"/>
      <c r="AF33" s="42"/>
      <c r="AG33" s="42"/>
      <c r="AH33" s="42"/>
      <c r="AI33" s="42"/>
      <c r="AJ33" s="42"/>
      <c r="AK33" s="42"/>
      <c r="AL33" s="42"/>
      <c r="AM33" s="42"/>
      <c r="AN33" s="42"/>
      <c r="AO33" s="42"/>
      <c r="AP33" s="42"/>
      <c r="AQ33" s="42"/>
      <c r="AR33" s="42"/>
      <c r="AS33" s="42"/>
      <c r="AT33" s="42"/>
      <c r="AU33" s="42"/>
      <c r="AV33" s="42"/>
      <c r="AW33" s="42"/>
      <c r="AX33" s="42"/>
      <c r="AY33" s="42"/>
      <c r="AZ33" s="43"/>
      <c r="BA33" s="25" t="str">
        <f t="shared" si="0"/>
        <v/>
      </c>
      <c r="BB33" s="17" t="str">
        <f t="shared" si="1"/>
        <v/>
      </c>
      <c r="BC33" s="17" t="str">
        <f t="shared" si="2"/>
        <v/>
      </c>
      <c r="BD33" s="17" t="str">
        <f t="shared" si="3"/>
        <v/>
      </c>
      <c r="BE33" s="26" t="str">
        <f t="shared" si="4"/>
        <v/>
      </c>
    </row>
    <row r="34" spans="1:57" ht="12" customHeight="1" x14ac:dyDescent="0.4">
      <c r="A34" s="37">
        <v>27</v>
      </c>
      <c r="B34" s="18">
        <f>'C. FILIACION'!B34</f>
        <v>0</v>
      </c>
      <c r="C34" s="42"/>
      <c r="D34" s="42"/>
      <c r="E34" s="42"/>
      <c r="F34" s="42"/>
      <c r="G34" s="42"/>
      <c r="H34" s="42"/>
      <c r="I34" s="42"/>
      <c r="J34" s="42"/>
      <c r="K34" s="42"/>
      <c r="L34" s="42"/>
      <c r="M34" s="42"/>
      <c r="N34" s="42"/>
      <c r="O34" s="42"/>
      <c r="P34" s="42"/>
      <c r="Q34" s="42"/>
      <c r="R34" s="42"/>
      <c r="S34" s="42"/>
      <c r="T34" s="42"/>
      <c r="U34" s="42"/>
      <c r="V34" s="42"/>
      <c r="W34" s="42"/>
      <c r="X34" s="42"/>
      <c r="Y34" s="42"/>
      <c r="Z34" s="42"/>
      <c r="AA34" s="42"/>
      <c r="AB34" s="42"/>
      <c r="AC34" s="42"/>
      <c r="AD34" s="42"/>
      <c r="AE34" s="42"/>
      <c r="AF34" s="42"/>
      <c r="AG34" s="42"/>
      <c r="AH34" s="42"/>
      <c r="AI34" s="42"/>
      <c r="AJ34" s="42"/>
      <c r="AK34" s="42"/>
      <c r="AL34" s="42"/>
      <c r="AM34" s="42"/>
      <c r="AN34" s="42"/>
      <c r="AO34" s="42"/>
      <c r="AP34" s="42"/>
      <c r="AQ34" s="42"/>
      <c r="AR34" s="42"/>
      <c r="AS34" s="42"/>
      <c r="AT34" s="42"/>
      <c r="AU34" s="42"/>
      <c r="AV34" s="42"/>
      <c r="AW34" s="42"/>
      <c r="AX34" s="42"/>
      <c r="AY34" s="42"/>
      <c r="AZ34" s="43"/>
      <c r="BA34" s="25" t="str">
        <f t="shared" si="0"/>
        <v/>
      </c>
      <c r="BB34" s="17" t="str">
        <f t="shared" si="1"/>
        <v/>
      </c>
      <c r="BC34" s="17" t="str">
        <f t="shared" si="2"/>
        <v/>
      </c>
      <c r="BD34" s="17" t="str">
        <f t="shared" si="3"/>
        <v/>
      </c>
      <c r="BE34" s="26" t="str">
        <f t="shared" si="4"/>
        <v/>
      </c>
    </row>
    <row r="35" spans="1:57" ht="12" customHeight="1" x14ac:dyDescent="0.4">
      <c r="A35" s="37">
        <v>28</v>
      </c>
      <c r="B35" s="18">
        <f>'C. FILIACION'!B35</f>
        <v>0</v>
      </c>
      <c r="C35" s="42"/>
      <c r="D35" s="42"/>
      <c r="E35" s="42"/>
      <c r="F35" s="42"/>
      <c r="G35" s="42"/>
      <c r="H35" s="42"/>
      <c r="I35" s="42"/>
      <c r="J35" s="42"/>
      <c r="K35" s="42"/>
      <c r="L35" s="42"/>
      <c r="M35" s="42"/>
      <c r="N35" s="42"/>
      <c r="O35" s="42"/>
      <c r="P35" s="42"/>
      <c r="Q35" s="42"/>
      <c r="R35" s="42"/>
      <c r="S35" s="42"/>
      <c r="T35" s="42"/>
      <c r="U35" s="42"/>
      <c r="V35" s="42"/>
      <c r="W35" s="42"/>
      <c r="X35" s="42"/>
      <c r="Y35" s="42"/>
      <c r="Z35" s="42"/>
      <c r="AA35" s="42"/>
      <c r="AB35" s="42"/>
      <c r="AC35" s="42"/>
      <c r="AD35" s="42"/>
      <c r="AE35" s="42"/>
      <c r="AF35" s="42"/>
      <c r="AG35" s="42"/>
      <c r="AH35" s="42"/>
      <c r="AI35" s="42"/>
      <c r="AJ35" s="42"/>
      <c r="AK35" s="42"/>
      <c r="AL35" s="42"/>
      <c r="AM35" s="42"/>
      <c r="AN35" s="42"/>
      <c r="AO35" s="42"/>
      <c r="AP35" s="42"/>
      <c r="AQ35" s="42"/>
      <c r="AR35" s="42"/>
      <c r="AS35" s="42"/>
      <c r="AT35" s="42"/>
      <c r="AU35" s="42"/>
      <c r="AV35" s="42"/>
      <c r="AW35" s="42"/>
      <c r="AX35" s="42"/>
      <c r="AY35" s="42"/>
      <c r="AZ35" s="43"/>
      <c r="BA35" s="25" t="str">
        <f t="shared" si="0"/>
        <v/>
      </c>
      <c r="BB35" s="17" t="str">
        <f t="shared" si="1"/>
        <v/>
      </c>
      <c r="BC35" s="17" t="str">
        <f t="shared" si="2"/>
        <v/>
      </c>
      <c r="BD35" s="17" t="str">
        <f t="shared" si="3"/>
        <v/>
      </c>
      <c r="BE35" s="26" t="str">
        <f t="shared" si="4"/>
        <v/>
      </c>
    </row>
    <row r="36" spans="1:57" ht="12" customHeight="1" x14ac:dyDescent="0.4">
      <c r="A36" s="37">
        <v>29</v>
      </c>
      <c r="B36" s="18">
        <f>'C. FILIACION'!B36</f>
        <v>0</v>
      </c>
      <c r="C36" s="42"/>
      <c r="D36" s="42"/>
      <c r="E36" s="42"/>
      <c r="F36" s="42"/>
      <c r="G36" s="42"/>
      <c r="H36" s="42"/>
      <c r="I36" s="42"/>
      <c r="J36" s="42"/>
      <c r="K36" s="42"/>
      <c r="L36" s="42"/>
      <c r="M36" s="42"/>
      <c r="N36" s="42"/>
      <c r="O36" s="42"/>
      <c r="P36" s="42"/>
      <c r="Q36" s="42"/>
      <c r="R36" s="42"/>
      <c r="S36" s="42"/>
      <c r="T36" s="42"/>
      <c r="U36" s="42"/>
      <c r="V36" s="42"/>
      <c r="W36" s="42"/>
      <c r="X36" s="42"/>
      <c r="Y36" s="42"/>
      <c r="Z36" s="42"/>
      <c r="AA36" s="42"/>
      <c r="AB36" s="42"/>
      <c r="AC36" s="42"/>
      <c r="AD36" s="42"/>
      <c r="AE36" s="42"/>
      <c r="AF36" s="42"/>
      <c r="AG36" s="42"/>
      <c r="AH36" s="42"/>
      <c r="AI36" s="42"/>
      <c r="AJ36" s="42"/>
      <c r="AK36" s="42"/>
      <c r="AL36" s="42"/>
      <c r="AM36" s="42"/>
      <c r="AN36" s="42"/>
      <c r="AO36" s="42"/>
      <c r="AP36" s="42"/>
      <c r="AQ36" s="42"/>
      <c r="AR36" s="42"/>
      <c r="AS36" s="42"/>
      <c r="AT36" s="42"/>
      <c r="AU36" s="42"/>
      <c r="AV36" s="42"/>
      <c r="AW36" s="42"/>
      <c r="AX36" s="42"/>
      <c r="AY36" s="42"/>
      <c r="AZ36" s="43"/>
      <c r="BA36" s="25" t="str">
        <f t="shared" si="0"/>
        <v/>
      </c>
      <c r="BB36" s="17" t="str">
        <f t="shared" si="1"/>
        <v/>
      </c>
      <c r="BC36" s="17" t="str">
        <f t="shared" si="2"/>
        <v/>
      </c>
      <c r="BD36" s="17" t="str">
        <f t="shared" si="3"/>
        <v/>
      </c>
      <c r="BE36" s="26" t="str">
        <f t="shared" si="4"/>
        <v/>
      </c>
    </row>
    <row r="37" spans="1:57" ht="12" customHeight="1" x14ac:dyDescent="0.4">
      <c r="A37" s="37">
        <v>30</v>
      </c>
      <c r="B37" s="18">
        <f>'C. FILIACION'!B37</f>
        <v>0</v>
      </c>
      <c r="C37" s="42"/>
      <c r="D37" s="42"/>
      <c r="E37" s="42"/>
      <c r="F37" s="42"/>
      <c r="G37" s="42"/>
      <c r="H37" s="42"/>
      <c r="I37" s="42"/>
      <c r="J37" s="42"/>
      <c r="K37" s="42"/>
      <c r="L37" s="42"/>
      <c r="M37" s="42"/>
      <c r="N37" s="42"/>
      <c r="O37" s="42"/>
      <c r="P37" s="42"/>
      <c r="Q37" s="42"/>
      <c r="R37" s="42"/>
      <c r="S37" s="42"/>
      <c r="T37" s="42"/>
      <c r="U37" s="42"/>
      <c r="V37" s="42"/>
      <c r="W37" s="42"/>
      <c r="X37" s="42"/>
      <c r="Y37" s="42"/>
      <c r="Z37" s="42"/>
      <c r="AA37" s="42"/>
      <c r="AB37" s="42"/>
      <c r="AC37" s="42"/>
      <c r="AD37" s="42"/>
      <c r="AE37" s="42"/>
      <c r="AF37" s="42"/>
      <c r="AG37" s="42"/>
      <c r="AH37" s="42"/>
      <c r="AI37" s="42"/>
      <c r="AJ37" s="42"/>
      <c r="AK37" s="42"/>
      <c r="AL37" s="42"/>
      <c r="AM37" s="42"/>
      <c r="AN37" s="42"/>
      <c r="AO37" s="42"/>
      <c r="AP37" s="42"/>
      <c r="AQ37" s="42"/>
      <c r="AR37" s="42"/>
      <c r="AS37" s="42"/>
      <c r="AT37" s="42"/>
      <c r="AU37" s="42"/>
      <c r="AV37" s="42"/>
      <c r="AW37" s="42"/>
      <c r="AX37" s="42"/>
      <c r="AY37" s="42"/>
      <c r="AZ37" s="43"/>
      <c r="BA37" s="25" t="str">
        <f t="shared" si="0"/>
        <v/>
      </c>
      <c r="BB37" s="17" t="str">
        <f t="shared" si="1"/>
        <v/>
      </c>
      <c r="BC37" s="17" t="str">
        <f t="shared" si="2"/>
        <v/>
      </c>
      <c r="BD37" s="17" t="str">
        <f t="shared" si="3"/>
        <v/>
      </c>
      <c r="BE37" s="26" t="str">
        <f t="shared" si="4"/>
        <v/>
      </c>
    </row>
    <row r="38" spans="1:57" ht="12" customHeight="1" x14ac:dyDescent="0.4">
      <c r="A38" s="37">
        <v>31</v>
      </c>
      <c r="B38" s="18">
        <f>'C. FILIACION'!B38</f>
        <v>0</v>
      </c>
      <c r="C38" s="42"/>
      <c r="D38" s="42"/>
      <c r="E38" s="42"/>
      <c r="F38" s="42"/>
      <c r="G38" s="42"/>
      <c r="H38" s="42"/>
      <c r="I38" s="42"/>
      <c r="J38" s="42"/>
      <c r="K38" s="42"/>
      <c r="L38" s="42"/>
      <c r="M38" s="42"/>
      <c r="N38" s="42"/>
      <c r="O38" s="42"/>
      <c r="P38" s="42"/>
      <c r="Q38" s="42"/>
      <c r="R38" s="42"/>
      <c r="S38" s="42"/>
      <c r="T38" s="42"/>
      <c r="U38" s="42"/>
      <c r="V38" s="42"/>
      <c r="W38" s="42"/>
      <c r="X38" s="42"/>
      <c r="Y38" s="42"/>
      <c r="Z38" s="42"/>
      <c r="AA38" s="42"/>
      <c r="AB38" s="42"/>
      <c r="AC38" s="42"/>
      <c r="AD38" s="42"/>
      <c r="AE38" s="42"/>
      <c r="AF38" s="42"/>
      <c r="AG38" s="42"/>
      <c r="AH38" s="42"/>
      <c r="AI38" s="42"/>
      <c r="AJ38" s="42"/>
      <c r="AK38" s="42"/>
      <c r="AL38" s="42"/>
      <c r="AM38" s="42"/>
      <c r="AN38" s="42"/>
      <c r="AO38" s="42"/>
      <c r="AP38" s="42"/>
      <c r="AQ38" s="42"/>
      <c r="AR38" s="42"/>
      <c r="AS38" s="42"/>
      <c r="AT38" s="42"/>
      <c r="AU38" s="42"/>
      <c r="AV38" s="42"/>
      <c r="AW38" s="42"/>
      <c r="AX38" s="42"/>
      <c r="AY38" s="42"/>
      <c r="AZ38" s="43"/>
      <c r="BA38" s="25" t="str">
        <f t="shared" si="0"/>
        <v/>
      </c>
      <c r="BB38" s="17" t="str">
        <f t="shared" si="1"/>
        <v/>
      </c>
      <c r="BC38" s="17" t="str">
        <f t="shared" si="2"/>
        <v/>
      </c>
      <c r="BD38" s="17" t="str">
        <f t="shared" si="3"/>
        <v/>
      </c>
      <c r="BE38" s="26" t="str">
        <f t="shared" si="4"/>
        <v/>
      </c>
    </row>
    <row r="39" spans="1:57" ht="12" customHeight="1" x14ac:dyDescent="0.4">
      <c r="A39" s="37">
        <v>32</v>
      </c>
      <c r="B39" s="18">
        <f>'C. FILIACION'!B39</f>
        <v>0</v>
      </c>
      <c r="C39" s="42"/>
      <c r="D39" s="42"/>
      <c r="E39" s="42"/>
      <c r="F39" s="42"/>
      <c r="G39" s="42"/>
      <c r="H39" s="42"/>
      <c r="I39" s="42"/>
      <c r="J39" s="42"/>
      <c r="K39" s="42"/>
      <c r="L39" s="42"/>
      <c r="M39" s="42"/>
      <c r="N39" s="42"/>
      <c r="O39" s="42"/>
      <c r="P39" s="42"/>
      <c r="Q39" s="42"/>
      <c r="R39" s="42"/>
      <c r="S39" s="42"/>
      <c r="T39" s="42"/>
      <c r="U39" s="42"/>
      <c r="V39" s="42"/>
      <c r="W39" s="42"/>
      <c r="X39" s="42"/>
      <c r="Y39" s="42"/>
      <c r="Z39" s="42"/>
      <c r="AA39" s="42"/>
      <c r="AB39" s="42"/>
      <c r="AC39" s="42"/>
      <c r="AD39" s="42"/>
      <c r="AE39" s="42"/>
      <c r="AF39" s="42"/>
      <c r="AG39" s="42"/>
      <c r="AH39" s="42"/>
      <c r="AI39" s="42"/>
      <c r="AJ39" s="42"/>
      <c r="AK39" s="42"/>
      <c r="AL39" s="42"/>
      <c r="AM39" s="42"/>
      <c r="AN39" s="42"/>
      <c r="AO39" s="42"/>
      <c r="AP39" s="42"/>
      <c r="AQ39" s="42"/>
      <c r="AR39" s="42"/>
      <c r="AS39" s="42"/>
      <c r="AT39" s="42"/>
      <c r="AU39" s="42"/>
      <c r="AV39" s="42"/>
      <c r="AW39" s="42"/>
      <c r="AX39" s="42"/>
      <c r="AY39" s="42"/>
      <c r="AZ39" s="43"/>
      <c r="BA39" s="25" t="str">
        <f t="shared" si="0"/>
        <v/>
      </c>
      <c r="BB39" s="17" t="str">
        <f t="shared" si="1"/>
        <v/>
      </c>
      <c r="BC39" s="17" t="str">
        <f t="shared" si="2"/>
        <v/>
      </c>
      <c r="BD39" s="17" t="str">
        <f t="shared" si="3"/>
        <v/>
      </c>
      <c r="BE39" s="26" t="str">
        <f t="shared" si="4"/>
        <v/>
      </c>
    </row>
    <row r="40" spans="1:57" ht="12" customHeight="1" x14ac:dyDescent="0.4">
      <c r="A40" s="37">
        <v>33</v>
      </c>
      <c r="B40" s="18">
        <f>'C. FILIACION'!B40</f>
        <v>0</v>
      </c>
      <c r="C40" s="42"/>
      <c r="D40" s="42"/>
      <c r="E40" s="42"/>
      <c r="F40" s="42"/>
      <c r="G40" s="42"/>
      <c r="H40" s="42"/>
      <c r="I40" s="42"/>
      <c r="J40" s="42"/>
      <c r="K40" s="42"/>
      <c r="L40" s="42"/>
      <c r="M40" s="42"/>
      <c r="N40" s="42"/>
      <c r="O40" s="42"/>
      <c r="P40" s="42"/>
      <c r="Q40" s="42"/>
      <c r="R40" s="42"/>
      <c r="S40" s="42"/>
      <c r="T40" s="42"/>
      <c r="U40" s="42"/>
      <c r="V40" s="42"/>
      <c r="W40" s="42"/>
      <c r="X40" s="42"/>
      <c r="Y40" s="42"/>
      <c r="Z40" s="42"/>
      <c r="AA40" s="42"/>
      <c r="AB40" s="42"/>
      <c r="AC40" s="42"/>
      <c r="AD40" s="42"/>
      <c r="AE40" s="42"/>
      <c r="AF40" s="42"/>
      <c r="AG40" s="42"/>
      <c r="AH40" s="42"/>
      <c r="AI40" s="42"/>
      <c r="AJ40" s="42"/>
      <c r="AK40" s="42"/>
      <c r="AL40" s="42"/>
      <c r="AM40" s="42"/>
      <c r="AN40" s="42"/>
      <c r="AO40" s="42"/>
      <c r="AP40" s="42"/>
      <c r="AQ40" s="42"/>
      <c r="AR40" s="42"/>
      <c r="AS40" s="42"/>
      <c r="AT40" s="42"/>
      <c r="AU40" s="42"/>
      <c r="AV40" s="42"/>
      <c r="AW40" s="42"/>
      <c r="AX40" s="42"/>
      <c r="AY40" s="42"/>
      <c r="AZ40" s="43"/>
      <c r="BA40" s="25" t="str">
        <f t="shared" si="0"/>
        <v/>
      </c>
      <c r="BB40" s="17" t="str">
        <f t="shared" si="1"/>
        <v/>
      </c>
      <c r="BC40" s="17" t="str">
        <f t="shared" si="2"/>
        <v/>
      </c>
      <c r="BD40" s="17" t="str">
        <f t="shared" si="3"/>
        <v/>
      </c>
      <c r="BE40" s="26" t="str">
        <f t="shared" si="4"/>
        <v/>
      </c>
    </row>
    <row r="41" spans="1:57" ht="12" customHeight="1" x14ac:dyDescent="0.4">
      <c r="A41" s="37">
        <v>34</v>
      </c>
      <c r="B41" s="18">
        <f>'C. FILIACION'!B41</f>
        <v>0</v>
      </c>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42"/>
      <c r="AX41" s="42"/>
      <c r="AY41" s="42"/>
      <c r="AZ41" s="43"/>
      <c r="BA41" s="25" t="str">
        <f t="shared" si="0"/>
        <v/>
      </c>
      <c r="BB41" s="17" t="str">
        <f t="shared" si="1"/>
        <v/>
      </c>
      <c r="BC41" s="17" t="str">
        <f t="shared" si="2"/>
        <v/>
      </c>
      <c r="BD41" s="17" t="str">
        <f t="shared" si="3"/>
        <v/>
      </c>
      <c r="BE41" s="26" t="str">
        <f t="shared" si="4"/>
        <v/>
      </c>
    </row>
    <row r="42" spans="1:57" ht="12" customHeight="1" x14ac:dyDescent="0.4">
      <c r="A42" s="37">
        <v>35</v>
      </c>
      <c r="B42" s="18">
        <f>'C. FILIACION'!B42</f>
        <v>0</v>
      </c>
      <c r="C42" s="42"/>
      <c r="D42" s="42"/>
      <c r="E42" s="42"/>
      <c r="F42" s="42"/>
      <c r="G42" s="42"/>
      <c r="H42" s="42"/>
      <c r="I42" s="42"/>
      <c r="J42" s="42"/>
      <c r="K42" s="42"/>
      <c r="L42" s="42"/>
      <c r="M42" s="42"/>
      <c r="N42" s="42"/>
      <c r="O42" s="42"/>
      <c r="P42" s="42"/>
      <c r="Q42" s="42"/>
      <c r="R42" s="42"/>
      <c r="S42" s="42"/>
      <c r="T42" s="42"/>
      <c r="U42" s="42"/>
      <c r="V42" s="42"/>
      <c r="W42" s="42"/>
      <c r="X42" s="42"/>
      <c r="Y42" s="42"/>
      <c r="Z42" s="42"/>
      <c r="AA42" s="42"/>
      <c r="AB42" s="42"/>
      <c r="AC42" s="42"/>
      <c r="AD42" s="42"/>
      <c r="AE42" s="42"/>
      <c r="AF42" s="42"/>
      <c r="AG42" s="42"/>
      <c r="AH42" s="42"/>
      <c r="AI42" s="42"/>
      <c r="AJ42" s="42"/>
      <c r="AK42" s="42"/>
      <c r="AL42" s="42"/>
      <c r="AM42" s="42"/>
      <c r="AN42" s="42"/>
      <c r="AO42" s="42"/>
      <c r="AP42" s="42"/>
      <c r="AQ42" s="42"/>
      <c r="AR42" s="42"/>
      <c r="AS42" s="42"/>
      <c r="AT42" s="42"/>
      <c r="AU42" s="42"/>
      <c r="AV42" s="42"/>
      <c r="AW42" s="42"/>
      <c r="AX42" s="42"/>
      <c r="AY42" s="42"/>
      <c r="AZ42" s="43"/>
      <c r="BA42" s="25" t="str">
        <f t="shared" si="0"/>
        <v/>
      </c>
      <c r="BB42" s="17" t="str">
        <f t="shared" si="1"/>
        <v/>
      </c>
      <c r="BC42" s="17" t="str">
        <f t="shared" si="2"/>
        <v/>
      </c>
      <c r="BD42" s="17" t="str">
        <f t="shared" si="3"/>
        <v/>
      </c>
      <c r="BE42" s="26" t="str">
        <f t="shared" si="4"/>
        <v/>
      </c>
    </row>
    <row r="43" spans="1:57" ht="12" customHeight="1" x14ac:dyDescent="0.4">
      <c r="A43" s="37">
        <v>36</v>
      </c>
      <c r="B43" s="18">
        <f>'C. FILIACION'!B43</f>
        <v>0</v>
      </c>
      <c r="C43" s="44"/>
      <c r="D43" s="44"/>
      <c r="E43" s="44"/>
      <c r="F43" s="44"/>
      <c r="G43" s="44"/>
      <c r="H43" s="44"/>
      <c r="I43" s="44"/>
      <c r="J43" s="44"/>
      <c r="K43" s="44"/>
      <c r="L43" s="44"/>
      <c r="M43" s="44"/>
      <c r="N43" s="44"/>
      <c r="O43" s="44"/>
      <c r="P43" s="44"/>
      <c r="Q43" s="44"/>
      <c r="R43" s="44"/>
      <c r="S43" s="44"/>
      <c r="T43" s="44"/>
      <c r="U43" s="44"/>
      <c r="V43" s="44"/>
      <c r="W43" s="44"/>
      <c r="X43" s="44"/>
      <c r="Y43" s="44"/>
      <c r="Z43" s="44"/>
      <c r="AA43" s="44"/>
      <c r="AB43" s="44"/>
      <c r="AC43" s="44"/>
      <c r="AD43" s="44"/>
      <c r="AE43" s="44"/>
      <c r="AF43" s="44"/>
      <c r="AG43" s="44"/>
      <c r="AH43" s="44"/>
      <c r="AI43" s="44"/>
      <c r="AJ43" s="44"/>
      <c r="AK43" s="44"/>
      <c r="AL43" s="44"/>
      <c r="AM43" s="44"/>
      <c r="AN43" s="44"/>
      <c r="AO43" s="44"/>
      <c r="AP43" s="44"/>
      <c r="AQ43" s="44"/>
      <c r="AR43" s="44"/>
      <c r="AS43" s="44"/>
      <c r="AT43" s="44"/>
      <c r="AU43" s="44"/>
      <c r="AV43" s="44"/>
      <c r="AW43" s="44"/>
      <c r="AX43" s="44"/>
      <c r="AY43" s="44"/>
      <c r="AZ43" s="45"/>
      <c r="BA43" s="25" t="str">
        <f t="shared" si="0"/>
        <v/>
      </c>
      <c r="BB43" s="17" t="str">
        <f t="shared" si="1"/>
        <v/>
      </c>
      <c r="BC43" s="17" t="str">
        <f t="shared" si="2"/>
        <v/>
      </c>
      <c r="BD43" s="17" t="str">
        <f t="shared" si="3"/>
        <v/>
      </c>
      <c r="BE43" s="26" t="str">
        <f t="shared" si="4"/>
        <v/>
      </c>
    </row>
  </sheetData>
  <sheetProtection algorithmName="SHA-512" hashValue="LHOKeUFojwPrD51wquxnGLcgBC6mpsKyCCNqABl+dei8bu+fyGlNgiUGlrRpvbkK6hW9VMNMc/YkgEEKPpSRxQ==" saltValue="Hr2lPslvI48CuQj1f78vXQ==" spinCount="100000" sheet="1" objects="1" scenarios="1"/>
  <mergeCells count="7">
    <mergeCell ref="B2:BI2"/>
    <mergeCell ref="BA3:BE3"/>
    <mergeCell ref="BA4:BE5"/>
    <mergeCell ref="X5:AC5"/>
    <mergeCell ref="AT3:AZ3"/>
    <mergeCell ref="AT4:AZ4"/>
    <mergeCell ref="AT5:AZ5"/>
  </mergeCells>
  <pageMargins left="0" right="0" top="0" bottom="0" header="0.31496062992125984" footer="0.31496062992125984"/>
  <pageSetup orientation="landscape"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4">
    <tabColor rgb="FFC00000"/>
  </sheetPr>
  <dimension ref="A1:BI43"/>
  <sheetViews>
    <sheetView zoomScale="120" zoomScaleNormal="120" workbookViewId="0">
      <selection activeCell="AZ8" sqref="AZ8"/>
    </sheetView>
  </sheetViews>
  <sheetFormatPr baseColWidth="10" defaultColWidth="8.7109375" defaultRowHeight="12.9" customHeight="1" x14ac:dyDescent="0.4"/>
  <cols>
    <col min="1" max="1" width="1.640625" customWidth="1"/>
    <col min="2" max="2" width="20.640625" customWidth="1"/>
    <col min="3" max="52" width="1.28515625" customWidth="1"/>
    <col min="53" max="57" width="1.42578125" customWidth="1"/>
    <col min="58" max="62" width="1.640625" customWidth="1"/>
  </cols>
  <sheetData>
    <row r="1" spans="1:61" ht="5.0999999999999996" customHeight="1" x14ac:dyDescent="0.4"/>
    <row r="2" spans="1:61" ht="12.9" customHeight="1" x14ac:dyDescent="0.4">
      <c r="B2" s="198" t="s">
        <v>38</v>
      </c>
      <c r="C2" s="198"/>
      <c r="D2" s="198"/>
      <c r="E2" s="198"/>
      <c r="F2" s="198"/>
      <c r="G2" s="198"/>
      <c r="H2" s="198"/>
      <c r="I2" s="198"/>
      <c r="J2" s="198"/>
      <c r="K2" s="198"/>
      <c r="L2" s="198"/>
      <c r="M2" s="198"/>
      <c r="N2" s="198"/>
      <c r="O2" s="198"/>
      <c r="P2" s="198"/>
      <c r="Q2" s="198"/>
      <c r="R2" s="198"/>
      <c r="S2" s="198"/>
      <c r="T2" s="198"/>
      <c r="U2" s="198"/>
      <c r="V2" s="198"/>
      <c r="W2" s="198"/>
      <c r="X2" s="198"/>
      <c r="Y2" s="198"/>
      <c r="Z2" s="198"/>
      <c r="AA2" s="198"/>
      <c r="AB2" s="198"/>
      <c r="AC2" s="198"/>
      <c r="AD2" s="198"/>
      <c r="AE2" s="198"/>
      <c r="AF2" s="198"/>
      <c r="AG2" s="198"/>
      <c r="AH2" s="198"/>
      <c r="AI2" s="198"/>
      <c r="AJ2" s="198"/>
      <c r="AK2" s="198"/>
      <c r="AL2" s="198"/>
      <c r="AM2" s="198"/>
      <c r="AN2" s="198"/>
      <c r="AO2" s="198"/>
      <c r="AP2" s="198"/>
      <c r="AQ2" s="198"/>
      <c r="AR2" s="198"/>
      <c r="AS2" s="198"/>
      <c r="AT2" s="198"/>
      <c r="AU2" s="198"/>
      <c r="AV2" s="198"/>
      <c r="AW2" s="198"/>
      <c r="AX2" s="198"/>
      <c r="AY2" s="198"/>
      <c r="AZ2" s="198"/>
      <c r="BA2" s="198"/>
      <c r="BB2" s="198"/>
      <c r="BC2" s="198"/>
      <c r="BD2" s="198"/>
      <c r="BE2" s="198"/>
      <c r="BF2" s="198"/>
      <c r="BG2" s="198"/>
      <c r="BH2" s="198"/>
      <c r="BI2" s="198"/>
    </row>
    <row r="3" spans="1:61" ht="12.9" customHeight="1" thickBot="1" x14ac:dyDescent="0.45">
      <c r="B3" s="14" t="s">
        <v>3</v>
      </c>
      <c r="C3" s="30">
        <f>CARÁTULA!$C$15</f>
        <v>0</v>
      </c>
      <c r="D3" s="29"/>
      <c r="E3" s="29"/>
      <c r="F3" s="29"/>
      <c r="G3" s="29"/>
      <c r="H3" s="29"/>
      <c r="I3" s="29"/>
      <c r="J3" s="29"/>
      <c r="K3" s="29"/>
      <c r="L3" s="29"/>
      <c r="M3" s="29"/>
      <c r="N3" s="29"/>
      <c r="O3" s="31"/>
      <c r="P3" s="31"/>
      <c r="Q3" s="19"/>
      <c r="R3" s="19"/>
      <c r="S3" s="19" t="s">
        <v>8</v>
      </c>
      <c r="T3" s="20"/>
      <c r="U3" s="20"/>
      <c r="V3" s="20"/>
      <c r="W3" s="20"/>
      <c r="X3" s="28">
        <f>CARÁTULA!$C$25</f>
        <v>0</v>
      </c>
      <c r="Y3" s="28"/>
      <c r="Z3" s="28"/>
      <c r="AA3" s="28"/>
      <c r="AB3" s="28"/>
      <c r="AC3" s="28"/>
      <c r="AD3" s="28"/>
      <c r="AE3" s="28"/>
      <c r="AF3" s="28"/>
      <c r="AG3" s="28"/>
      <c r="AH3" s="28"/>
      <c r="AI3" s="29"/>
      <c r="AJ3" s="1"/>
      <c r="AK3" s="20" t="s">
        <v>34</v>
      </c>
      <c r="AL3" s="1"/>
      <c r="AM3" s="1"/>
      <c r="AN3" s="1"/>
      <c r="AO3" s="1"/>
      <c r="AP3" s="1"/>
      <c r="AQ3" s="1"/>
      <c r="AR3" s="1"/>
      <c r="AS3" s="1"/>
      <c r="AT3" s="209">
        <f>CARÁTULA!$H$19</f>
        <v>44690</v>
      </c>
      <c r="AU3" s="210"/>
      <c r="AV3" s="210"/>
      <c r="AW3" s="210"/>
      <c r="AX3" s="210"/>
      <c r="AY3" s="210"/>
      <c r="AZ3" s="210"/>
      <c r="BA3" s="214" t="s">
        <v>40</v>
      </c>
      <c r="BB3" s="215"/>
      <c r="BC3" s="215"/>
      <c r="BD3" s="215"/>
      <c r="BE3" s="216"/>
    </row>
    <row r="4" spans="1:61" ht="12.9" customHeight="1" x14ac:dyDescent="0.4">
      <c r="B4" s="14" t="s">
        <v>6</v>
      </c>
      <c r="C4" s="30">
        <f>CARÁTULA!$C$21</f>
        <v>0</v>
      </c>
      <c r="D4" s="29"/>
      <c r="E4" s="29"/>
      <c r="F4" s="29"/>
      <c r="G4" s="29"/>
      <c r="H4" s="29"/>
      <c r="I4" s="29"/>
      <c r="J4" s="29"/>
      <c r="K4" s="29"/>
      <c r="L4" s="29"/>
      <c r="M4" s="29"/>
      <c r="N4" s="29"/>
      <c r="O4" s="31"/>
      <c r="P4" s="31"/>
      <c r="Q4" s="19"/>
      <c r="R4" s="19"/>
      <c r="S4" s="19" t="s">
        <v>26</v>
      </c>
      <c r="T4" s="20"/>
      <c r="U4" s="1"/>
      <c r="V4" s="1"/>
      <c r="W4" s="1"/>
      <c r="X4" s="30">
        <f>CARÁTULA!$C$19</f>
        <v>0</v>
      </c>
      <c r="Y4" s="29"/>
      <c r="Z4" s="29"/>
      <c r="AA4" s="29"/>
      <c r="AB4" s="29"/>
      <c r="AC4" s="29"/>
      <c r="AD4" s="29"/>
      <c r="AE4" s="29"/>
      <c r="AF4" s="29"/>
      <c r="AG4" s="29"/>
      <c r="AH4" s="29"/>
      <c r="AI4" s="29"/>
      <c r="AJ4" s="1"/>
      <c r="AK4" s="20" t="s">
        <v>35</v>
      </c>
      <c r="AL4" s="1"/>
      <c r="AM4" s="1"/>
      <c r="AN4" s="1"/>
      <c r="AO4" s="1"/>
      <c r="AP4" s="1"/>
      <c r="AQ4" s="1"/>
      <c r="AR4" s="1"/>
      <c r="AS4" s="1"/>
      <c r="AT4" s="209">
        <f>CARÁTULA!$J$19</f>
        <v>44804</v>
      </c>
      <c r="AU4" s="210"/>
      <c r="AV4" s="210"/>
      <c r="AW4" s="210"/>
      <c r="AX4" s="210"/>
      <c r="AY4" s="210"/>
      <c r="AZ4" s="210"/>
      <c r="BA4" s="217">
        <f ca="1">AT4-AT5</f>
        <v>208</v>
      </c>
      <c r="BB4" s="218"/>
      <c r="BC4" s="218"/>
      <c r="BD4" s="218"/>
      <c r="BE4" s="219"/>
    </row>
    <row r="5" spans="1:61" ht="12.9" customHeight="1" thickBot="1" x14ac:dyDescent="0.45">
      <c r="B5" s="14" t="s">
        <v>17</v>
      </c>
      <c r="C5" s="28">
        <f>CARÁTULA!$C$23</f>
        <v>0</v>
      </c>
      <c r="D5" s="29"/>
      <c r="E5" s="29"/>
      <c r="F5" s="29"/>
      <c r="G5" s="29"/>
      <c r="H5" s="29"/>
      <c r="I5" s="29"/>
      <c r="J5" s="29"/>
      <c r="K5" s="29"/>
      <c r="L5" s="29"/>
      <c r="M5" s="29"/>
      <c r="N5" s="29"/>
      <c r="O5" s="32"/>
      <c r="P5" s="32"/>
      <c r="Q5" s="14"/>
      <c r="R5" s="14"/>
      <c r="S5" s="27" t="s">
        <v>19</v>
      </c>
      <c r="T5" s="21"/>
      <c r="U5" s="21"/>
      <c r="V5" s="21"/>
      <c r="W5" s="21"/>
      <c r="X5" s="213">
        <f ca="1">TODAY()</f>
        <v>44596</v>
      </c>
      <c r="Y5" s="213"/>
      <c r="Z5" s="213"/>
      <c r="AA5" s="213"/>
      <c r="AB5" s="213"/>
      <c r="AC5" s="213"/>
      <c r="AD5" s="29"/>
      <c r="AE5" s="29"/>
      <c r="AF5" s="29"/>
      <c r="AG5" s="29"/>
      <c r="AH5" s="29"/>
      <c r="AI5" s="29"/>
      <c r="AJ5" s="1"/>
      <c r="AK5" s="35" t="s">
        <v>36</v>
      </c>
      <c r="AL5" s="36"/>
      <c r="AM5" s="36"/>
      <c r="AN5" s="36"/>
      <c r="AO5" s="36"/>
      <c r="AP5" s="36"/>
      <c r="AQ5" s="36"/>
      <c r="AR5" s="1"/>
      <c r="AS5" s="1"/>
      <c r="AT5" s="211">
        <f ca="1">TODAY()</f>
        <v>44596</v>
      </c>
      <c r="AU5" s="212"/>
      <c r="AV5" s="212"/>
      <c r="AW5" s="212"/>
      <c r="AX5" s="212"/>
      <c r="AY5" s="212"/>
      <c r="AZ5" s="212"/>
      <c r="BA5" s="220"/>
      <c r="BB5" s="221"/>
      <c r="BC5" s="221"/>
      <c r="BD5" s="221"/>
      <c r="BE5" s="222"/>
    </row>
    <row r="6" spans="1:61" ht="3" customHeight="1" thickBot="1" x14ac:dyDescent="0.45">
      <c r="B6" s="12"/>
      <c r="C6" s="1"/>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1"/>
      <c r="AR6" s="1"/>
      <c r="AS6" s="1"/>
      <c r="AT6" s="1"/>
      <c r="AU6" s="1"/>
      <c r="AV6" s="1"/>
      <c r="AW6" s="1"/>
      <c r="AX6" s="1"/>
      <c r="AY6" s="1"/>
      <c r="AZ6" s="1"/>
      <c r="BA6" s="46"/>
      <c r="BB6" s="1"/>
      <c r="BC6" s="1"/>
      <c r="BD6" s="1"/>
    </row>
    <row r="7" spans="1:61" ht="68.099999999999994" customHeight="1" x14ac:dyDescent="0.4">
      <c r="A7" s="16" t="s">
        <v>27</v>
      </c>
      <c r="B7" s="38" t="s">
        <v>28</v>
      </c>
      <c r="C7" s="39"/>
      <c r="D7" s="39"/>
      <c r="E7" s="40"/>
      <c r="F7" s="40"/>
      <c r="G7" s="40"/>
      <c r="H7" s="40"/>
      <c r="I7" s="40"/>
      <c r="J7" s="40"/>
      <c r="K7" s="40"/>
      <c r="L7" s="40"/>
      <c r="M7" s="40"/>
      <c r="N7" s="40"/>
      <c r="O7" s="40"/>
      <c r="P7" s="40"/>
      <c r="Q7" s="40"/>
      <c r="R7" s="40"/>
      <c r="S7" s="40"/>
      <c r="T7" s="40"/>
      <c r="U7" s="40"/>
      <c r="V7" s="40"/>
      <c r="W7" s="40"/>
      <c r="X7" s="40"/>
      <c r="Y7" s="40"/>
      <c r="Z7" s="40"/>
      <c r="AA7" s="40"/>
      <c r="AB7" s="40"/>
      <c r="AC7" s="40"/>
      <c r="AD7" s="40"/>
      <c r="AE7" s="40"/>
      <c r="AF7" s="40"/>
      <c r="AG7" s="40"/>
      <c r="AH7" s="40"/>
      <c r="AI7" s="40"/>
      <c r="AJ7" s="40"/>
      <c r="AK7" s="40"/>
      <c r="AL7" s="40"/>
      <c r="AM7" s="40"/>
      <c r="AN7" s="40"/>
      <c r="AO7" s="48"/>
      <c r="AP7" s="40"/>
      <c r="AQ7" s="40"/>
      <c r="AR7" s="40"/>
      <c r="AS7" s="40"/>
      <c r="AT7" s="40"/>
      <c r="AU7" s="40"/>
      <c r="AV7" s="40"/>
      <c r="AW7" s="40"/>
      <c r="AX7" s="40"/>
      <c r="AY7" s="40"/>
      <c r="AZ7" s="41"/>
      <c r="BA7" s="22" t="s">
        <v>29</v>
      </c>
      <c r="BB7" s="23" t="s">
        <v>30</v>
      </c>
      <c r="BC7" s="23" t="s">
        <v>32</v>
      </c>
      <c r="BD7" s="23" t="s">
        <v>31</v>
      </c>
      <c r="BE7" s="24" t="s">
        <v>33</v>
      </c>
    </row>
    <row r="8" spans="1:61" ht="12" customHeight="1" x14ac:dyDescent="0.4">
      <c r="A8" s="37">
        <v>1</v>
      </c>
      <c r="B8" s="18">
        <f>'C. FILIACION'!B8</f>
        <v>0</v>
      </c>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42"/>
      <c r="AX8" s="42"/>
      <c r="AY8" s="42"/>
      <c r="AZ8" s="43"/>
      <c r="BA8" s="25" t="str">
        <f t="shared" ref="BA8:BA43" si="0">IF(COUNTIF(C8:AZ8,"A")=0,"",COUNTIF(C8:AZ8,"A"))</f>
        <v/>
      </c>
      <c r="BB8" s="17" t="str">
        <f t="shared" ref="BB8:BB43" si="1">IF(COUNTIF(C8:AZ8,"F")=0,"",COUNTIF(C8:AZ8,"F"))</f>
        <v/>
      </c>
      <c r="BC8" s="17" t="str">
        <f t="shared" ref="BC8:BC43" si="2">IF(COUNTIF(C8:AZ8,"R")=0,"",COUNTIF(C8:AZ8,"R"))</f>
        <v/>
      </c>
      <c r="BD8" s="17" t="str">
        <f t="shared" ref="BD8:BD43" si="3">IF(COUNTIF(C8:AZ8,"L")=0,"",COUNTIF(C8:AZ8,"L"))</f>
        <v/>
      </c>
      <c r="BE8" s="26" t="str">
        <f t="shared" ref="BE8:BE43" si="4">IF(COUNTIF(C8:AZ8,"L")=0,"",COUNTIF(C8:AZ8,"L"))</f>
        <v/>
      </c>
    </row>
    <row r="9" spans="1:61" ht="12" customHeight="1" x14ac:dyDescent="0.4">
      <c r="A9" s="37">
        <v>2</v>
      </c>
      <c r="B9" s="18">
        <f>'C. FILIACION'!B9</f>
        <v>0</v>
      </c>
      <c r="C9" s="42"/>
      <c r="D9" s="42"/>
      <c r="E9" s="42"/>
      <c r="F9" s="42"/>
      <c r="G9" s="42"/>
      <c r="H9" s="42"/>
      <c r="I9" s="42"/>
      <c r="J9" s="42"/>
      <c r="K9" s="42"/>
      <c r="L9" s="42"/>
      <c r="M9" s="42"/>
      <c r="N9" s="42"/>
      <c r="O9" s="42"/>
      <c r="P9" s="42"/>
      <c r="Q9" s="42"/>
      <c r="R9" s="42"/>
      <c r="S9" s="42"/>
      <c r="T9" s="42"/>
      <c r="U9" s="42"/>
      <c r="V9" s="42"/>
      <c r="W9" s="42"/>
      <c r="X9" s="42"/>
      <c r="Y9" s="42"/>
      <c r="Z9" s="42"/>
      <c r="AA9" s="42"/>
      <c r="AB9" s="42"/>
      <c r="AC9" s="42"/>
      <c r="AD9" s="42"/>
      <c r="AE9" s="42"/>
      <c r="AF9" s="42"/>
      <c r="AG9" s="42"/>
      <c r="AH9" s="42"/>
      <c r="AI9" s="42"/>
      <c r="AJ9" s="42"/>
      <c r="AK9" s="42"/>
      <c r="AL9" s="42"/>
      <c r="AM9" s="42"/>
      <c r="AN9" s="42"/>
      <c r="AO9" s="42"/>
      <c r="AP9" s="42"/>
      <c r="AQ9" s="42"/>
      <c r="AR9" s="42"/>
      <c r="AS9" s="42"/>
      <c r="AT9" s="42"/>
      <c r="AU9" s="42"/>
      <c r="AV9" s="42"/>
      <c r="AW9" s="42"/>
      <c r="AX9" s="42"/>
      <c r="AY9" s="42"/>
      <c r="AZ9" s="43"/>
      <c r="BA9" s="25" t="str">
        <f t="shared" si="0"/>
        <v/>
      </c>
      <c r="BB9" s="17" t="str">
        <f t="shared" si="1"/>
        <v/>
      </c>
      <c r="BC9" s="17" t="str">
        <f t="shared" si="2"/>
        <v/>
      </c>
      <c r="BD9" s="17" t="str">
        <f t="shared" si="3"/>
        <v/>
      </c>
      <c r="BE9" s="26" t="str">
        <f t="shared" si="4"/>
        <v/>
      </c>
    </row>
    <row r="10" spans="1:61" ht="12" customHeight="1" x14ac:dyDescent="0.4">
      <c r="A10" s="37">
        <v>3</v>
      </c>
      <c r="B10" s="18">
        <f>'C. FILIACION'!B10</f>
        <v>0</v>
      </c>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2"/>
      <c r="AK10" s="42"/>
      <c r="AL10" s="42"/>
      <c r="AM10" s="42"/>
      <c r="AN10" s="42"/>
      <c r="AO10" s="42"/>
      <c r="AP10" s="42"/>
      <c r="AQ10" s="42"/>
      <c r="AR10" s="42"/>
      <c r="AS10" s="42"/>
      <c r="AT10" s="42"/>
      <c r="AU10" s="42"/>
      <c r="AV10" s="42"/>
      <c r="AW10" s="42"/>
      <c r="AX10" s="42"/>
      <c r="AY10" s="42"/>
      <c r="AZ10" s="43"/>
      <c r="BA10" s="25" t="str">
        <f t="shared" si="0"/>
        <v/>
      </c>
      <c r="BB10" s="17" t="str">
        <f t="shared" si="1"/>
        <v/>
      </c>
      <c r="BC10" s="17" t="str">
        <f t="shared" si="2"/>
        <v/>
      </c>
      <c r="BD10" s="17" t="str">
        <f t="shared" si="3"/>
        <v/>
      </c>
      <c r="BE10" s="26" t="str">
        <f t="shared" si="4"/>
        <v/>
      </c>
    </row>
    <row r="11" spans="1:61" ht="12" customHeight="1" x14ac:dyDescent="0.4">
      <c r="A11" s="37">
        <v>4</v>
      </c>
      <c r="B11" s="18">
        <f>'C. FILIACION'!B11</f>
        <v>0</v>
      </c>
      <c r="C11" s="42"/>
      <c r="D11" s="42"/>
      <c r="E11" s="42"/>
      <c r="F11" s="42"/>
      <c r="G11" s="42"/>
      <c r="H11" s="42"/>
      <c r="I11" s="42"/>
      <c r="J11" s="42"/>
      <c r="K11" s="42"/>
      <c r="L11" s="42"/>
      <c r="M11" s="42"/>
      <c r="N11" s="42"/>
      <c r="O11" s="42"/>
      <c r="P11" s="42"/>
      <c r="Q11" s="42"/>
      <c r="R11" s="42"/>
      <c r="S11" s="42"/>
      <c r="T11" s="42"/>
      <c r="U11" s="42"/>
      <c r="V11" s="42"/>
      <c r="W11" s="42"/>
      <c r="X11" s="42"/>
      <c r="Y11" s="42"/>
      <c r="Z11" s="42"/>
      <c r="AA11" s="42"/>
      <c r="AB11" s="42"/>
      <c r="AC11" s="42"/>
      <c r="AD11" s="42"/>
      <c r="AE11" s="42"/>
      <c r="AF11" s="42"/>
      <c r="AG11" s="42"/>
      <c r="AH11" s="42"/>
      <c r="AI11" s="42"/>
      <c r="AJ11" s="42"/>
      <c r="AK11" s="42"/>
      <c r="AL11" s="42"/>
      <c r="AM11" s="42"/>
      <c r="AN11" s="42"/>
      <c r="AO11" s="42"/>
      <c r="AP11" s="42"/>
      <c r="AQ11" s="42"/>
      <c r="AR11" s="42"/>
      <c r="AS11" s="42"/>
      <c r="AT11" s="42"/>
      <c r="AU11" s="42"/>
      <c r="AV11" s="42"/>
      <c r="AW11" s="42"/>
      <c r="AX11" s="42"/>
      <c r="AY11" s="42"/>
      <c r="AZ11" s="43"/>
      <c r="BA11" s="25" t="str">
        <f t="shared" si="0"/>
        <v/>
      </c>
      <c r="BB11" s="17" t="str">
        <f t="shared" si="1"/>
        <v/>
      </c>
      <c r="BC11" s="17" t="str">
        <f t="shared" si="2"/>
        <v/>
      </c>
      <c r="BD11" s="17" t="str">
        <f t="shared" si="3"/>
        <v/>
      </c>
      <c r="BE11" s="26" t="str">
        <f t="shared" si="4"/>
        <v/>
      </c>
    </row>
    <row r="12" spans="1:61" ht="12" customHeight="1" x14ac:dyDescent="0.4">
      <c r="A12" s="37">
        <v>5</v>
      </c>
      <c r="B12" s="18">
        <f>'C. FILIACION'!B12</f>
        <v>0</v>
      </c>
      <c r="C12" s="42"/>
      <c r="D12" s="42"/>
      <c r="E12" s="42"/>
      <c r="F12" s="42"/>
      <c r="G12" s="42"/>
      <c r="H12" s="42"/>
      <c r="I12" s="42"/>
      <c r="J12" s="42"/>
      <c r="K12" s="42"/>
      <c r="L12" s="42"/>
      <c r="M12" s="42"/>
      <c r="N12" s="42"/>
      <c r="O12" s="42"/>
      <c r="P12" s="42"/>
      <c r="Q12" s="42"/>
      <c r="R12" s="42"/>
      <c r="S12" s="42"/>
      <c r="T12" s="42"/>
      <c r="U12" s="42"/>
      <c r="V12" s="42"/>
      <c r="W12" s="42"/>
      <c r="X12" s="42"/>
      <c r="Y12" s="42"/>
      <c r="Z12" s="42"/>
      <c r="AA12" s="42"/>
      <c r="AB12" s="42"/>
      <c r="AC12" s="42"/>
      <c r="AD12" s="42"/>
      <c r="AE12" s="42"/>
      <c r="AF12" s="42"/>
      <c r="AG12" s="42"/>
      <c r="AH12" s="42"/>
      <c r="AI12" s="42"/>
      <c r="AJ12" s="42"/>
      <c r="AK12" s="42"/>
      <c r="AL12" s="42"/>
      <c r="AM12" s="42"/>
      <c r="AN12" s="42"/>
      <c r="AO12" s="42"/>
      <c r="AP12" s="42"/>
      <c r="AQ12" s="42"/>
      <c r="AR12" s="42"/>
      <c r="AS12" s="42"/>
      <c r="AT12" s="42"/>
      <c r="AU12" s="42"/>
      <c r="AV12" s="42"/>
      <c r="AW12" s="42"/>
      <c r="AX12" s="42"/>
      <c r="AY12" s="42"/>
      <c r="AZ12" s="43"/>
      <c r="BA12" s="25" t="str">
        <f t="shared" si="0"/>
        <v/>
      </c>
      <c r="BB12" s="17" t="str">
        <f t="shared" si="1"/>
        <v/>
      </c>
      <c r="BC12" s="17" t="str">
        <f t="shared" si="2"/>
        <v/>
      </c>
      <c r="BD12" s="17" t="str">
        <f t="shared" si="3"/>
        <v/>
      </c>
      <c r="BE12" s="26" t="str">
        <f t="shared" si="4"/>
        <v/>
      </c>
    </row>
    <row r="13" spans="1:61" ht="12" customHeight="1" x14ac:dyDescent="0.4">
      <c r="A13" s="37">
        <v>6</v>
      </c>
      <c r="B13" s="18">
        <f>'C. FILIACION'!B13</f>
        <v>0</v>
      </c>
      <c r="C13" s="42"/>
      <c r="D13" s="42"/>
      <c r="E13" s="42"/>
      <c r="F13" s="42"/>
      <c r="G13" s="42"/>
      <c r="H13" s="42"/>
      <c r="I13" s="42"/>
      <c r="J13" s="42"/>
      <c r="K13" s="42"/>
      <c r="L13" s="42"/>
      <c r="M13" s="42"/>
      <c r="N13" s="42"/>
      <c r="O13" s="42"/>
      <c r="P13" s="42"/>
      <c r="Q13" s="42"/>
      <c r="R13" s="42"/>
      <c r="S13" s="42"/>
      <c r="T13" s="42"/>
      <c r="U13" s="42"/>
      <c r="V13" s="42"/>
      <c r="W13" s="42"/>
      <c r="X13" s="42"/>
      <c r="Y13" s="42"/>
      <c r="Z13" s="42"/>
      <c r="AA13" s="42"/>
      <c r="AB13" s="42"/>
      <c r="AC13" s="42"/>
      <c r="AD13" s="42"/>
      <c r="AE13" s="42"/>
      <c r="AF13" s="42"/>
      <c r="AG13" s="42"/>
      <c r="AH13" s="42"/>
      <c r="AI13" s="42"/>
      <c r="AJ13" s="42"/>
      <c r="AK13" s="42"/>
      <c r="AL13" s="42"/>
      <c r="AM13" s="42"/>
      <c r="AN13" s="42"/>
      <c r="AO13" s="42"/>
      <c r="AP13" s="42"/>
      <c r="AQ13" s="42"/>
      <c r="AR13" s="42"/>
      <c r="AS13" s="42"/>
      <c r="AT13" s="42"/>
      <c r="AU13" s="42"/>
      <c r="AV13" s="42"/>
      <c r="AW13" s="42"/>
      <c r="AX13" s="42"/>
      <c r="AY13" s="42"/>
      <c r="AZ13" s="43"/>
      <c r="BA13" s="25" t="str">
        <f t="shared" si="0"/>
        <v/>
      </c>
      <c r="BB13" s="17" t="str">
        <f t="shared" si="1"/>
        <v/>
      </c>
      <c r="BC13" s="17" t="str">
        <f t="shared" si="2"/>
        <v/>
      </c>
      <c r="BD13" s="17" t="str">
        <f t="shared" si="3"/>
        <v/>
      </c>
      <c r="BE13" s="26" t="str">
        <f t="shared" si="4"/>
        <v/>
      </c>
    </row>
    <row r="14" spans="1:61" ht="12" customHeight="1" x14ac:dyDescent="0.4">
      <c r="A14" s="37">
        <v>7</v>
      </c>
      <c r="B14" s="18">
        <f>'C. FILIACION'!B14</f>
        <v>0</v>
      </c>
      <c r="C14" s="42"/>
      <c r="D14" s="42"/>
      <c r="E14" s="42"/>
      <c r="F14" s="42"/>
      <c r="G14" s="42"/>
      <c r="H14" s="42"/>
      <c r="I14" s="42"/>
      <c r="J14" s="42"/>
      <c r="K14" s="42"/>
      <c r="L14" s="42"/>
      <c r="M14" s="42"/>
      <c r="N14" s="42"/>
      <c r="O14" s="42"/>
      <c r="P14" s="42"/>
      <c r="Q14" s="42"/>
      <c r="R14" s="42"/>
      <c r="S14" s="42"/>
      <c r="T14" s="42"/>
      <c r="U14" s="42"/>
      <c r="V14" s="42"/>
      <c r="W14" s="42"/>
      <c r="X14" s="42"/>
      <c r="Y14" s="42"/>
      <c r="Z14" s="42"/>
      <c r="AA14" s="42"/>
      <c r="AB14" s="42"/>
      <c r="AC14" s="42"/>
      <c r="AD14" s="42"/>
      <c r="AE14" s="42"/>
      <c r="AF14" s="42"/>
      <c r="AG14" s="42"/>
      <c r="AH14" s="42"/>
      <c r="AI14" s="42"/>
      <c r="AJ14" s="42"/>
      <c r="AK14" s="42"/>
      <c r="AL14" s="42"/>
      <c r="AM14" s="42"/>
      <c r="AN14" s="42"/>
      <c r="AO14" s="42"/>
      <c r="AP14" s="42"/>
      <c r="AQ14" s="42"/>
      <c r="AR14" s="42"/>
      <c r="AS14" s="42"/>
      <c r="AT14" s="42"/>
      <c r="AU14" s="42"/>
      <c r="AV14" s="42"/>
      <c r="AW14" s="42"/>
      <c r="AX14" s="42"/>
      <c r="AY14" s="42"/>
      <c r="AZ14" s="43"/>
      <c r="BA14" s="25" t="str">
        <f t="shared" si="0"/>
        <v/>
      </c>
      <c r="BB14" s="17" t="str">
        <f t="shared" si="1"/>
        <v/>
      </c>
      <c r="BC14" s="17" t="str">
        <f t="shared" si="2"/>
        <v/>
      </c>
      <c r="BD14" s="17" t="str">
        <f t="shared" si="3"/>
        <v/>
      </c>
      <c r="BE14" s="26" t="str">
        <f t="shared" si="4"/>
        <v/>
      </c>
    </row>
    <row r="15" spans="1:61" ht="12" customHeight="1" x14ac:dyDescent="0.4">
      <c r="A15" s="37">
        <v>8</v>
      </c>
      <c r="B15" s="18">
        <f>'C. FILIACION'!B15</f>
        <v>0</v>
      </c>
      <c r="C15" s="42"/>
      <c r="D15" s="42"/>
      <c r="E15" s="42"/>
      <c r="F15" s="42"/>
      <c r="G15" s="42"/>
      <c r="H15" s="42"/>
      <c r="I15" s="42"/>
      <c r="J15" s="42"/>
      <c r="K15" s="42"/>
      <c r="L15" s="42"/>
      <c r="M15" s="42"/>
      <c r="N15" s="42"/>
      <c r="O15" s="42"/>
      <c r="P15" s="42"/>
      <c r="Q15" s="42"/>
      <c r="R15" s="42"/>
      <c r="S15" s="42"/>
      <c r="T15" s="42"/>
      <c r="U15" s="42"/>
      <c r="V15" s="42"/>
      <c r="W15" s="42"/>
      <c r="X15" s="42"/>
      <c r="Y15" s="42"/>
      <c r="Z15" s="42"/>
      <c r="AA15" s="42"/>
      <c r="AB15" s="42"/>
      <c r="AC15" s="42"/>
      <c r="AD15" s="42"/>
      <c r="AE15" s="42"/>
      <c r="AF15" s="42"/>
      <c r="AG15" s="42"/>
      <c r="AH15" s="42"/>
      <c r="AI15" s="42"/>
      <c r="AJ15" s="42"/>
      <c r="AK15" s="42"/>
      <c r="AL15" s="42"/>
      <c r="AM15" s="42"/>
      <c r="AN15" s="42"/>
      <c r="AO15" s="42"/>
      <c r="AP15" s="42"/>
      <c r="AQ15" s="42"/>
      <c r="AR15" s="42"/>
      <c r="AS15" s="42"/>
      <c r="AT15" s="42"/>
      <c r="AU15" s="42"/>
      <c r="AV15" s="42"/>
      <c r="AW15" s="42"/>
      <c r="AX15" s="42"/>
      <c r="AY15" s="42"/>
      <c r="AZ15" s="43"/>
      <c r="BA15" s="25" t="str">
        <f t="shared" si="0"/>
        <v/>
      </c>
      <c r="BB15" s="17" t="str">
        <f t="shared" si="1"/>
        <v/>
      </c>
      <c r="BC15" s="17" t="str">
        <f t="shared" si="2"/>
        <v/>
      </c>
      <c r="BD15" s="17" t="str">
        <f t="shared" si="3"/>
        <v/>
      </c>
      <c r="BE15" s="26" t="str">
        <f t="shared" si="4"/>
        <v/>
      </c>
    </row>
    <row r="16" spans="1:61" ht="12" customHeight="1" x14ac:dyDescent="0.4">
      <c r="A16" s="37">
        <v>9</v>
      </c>
      <c r="B16" s="18">
        <f>'C. FILIACION'!B16</f>
        <v>0</v>
      </c>
      <c r="C16" s="42"/>
      <c r="D16" s="42"/>
      <c r="E16" s="42"/>
      <c r="F16" s="42"/>
      <c r="G16" s="42"/>
      <c r="H16" s="42"/>
      <c r="I16" s="42"/>
      <c r="J16" s="42"/>
      <c r="K16" s="42"/>
      <c r="L16" s="42"/>
      <c r="M16" s="42"/>
      <c r="N16" s="42"/>
      <c r="O16" s="42"/>
      <c r="P16" s="42"/>
      <c r="Q16" s="42"/>
      <c r="R16" s="42"/>
      <c r="S16" s="42"/>
      <c r="T16" s="42"/>
      <c r="U16" s="42"/>
      <c r="V16" s="42"/>
      <c r="W16" s="42"/>
      <c r="X16" s="42"/>
      <c r="Y16" s="42"/>
      <c r="Z16" s="42"/>
      <c r="AA16" s="42"/>
      <c r="AB16" s="42"/>
      <c r="AC16" s="42"/>
      <c r="AD16" s="42"/>
      <c r="AE16" s="42"/>
      <c r="AF16" s="42"/>
      <c r="AG16" s="42"/>
      <c r="AH16" s="42"/>
      <c r="AI16" s="42"/>
      <c r="AJ16" s="42"/>
      <c r="AK16" s="42"/>
      <c r="AL16" s="42"/>
      <c r="AM16" s="42"/>
      <c r="AN16" s="42"/>
      <c r="AO16" s="42"/>
      <c r="AP16" s="42"/>
      <c r="AQ16" s="42"/>
      <c r="AR16" s="42"/>
      <c r="AS16" s="42"/>
      <c r="AT16" s="42"/>
      <c r="AU16" s="42"/>
      <c r="AV16" s="42"/>
      <c r="AW16" s="42"/>
      <c r="AX16" s="42"/>
      <c r="AY16" s="42"/>
      <c r="AZ16" s="43"/>
      <c r="BA16" s="25" t="str">
        <f t="shared" si="0"/>
        <v/>
      </c>
      <c r="BB16" s="17" t="str">
        <f t="shared" si="1"/>
        <v/>
      </c>
      <c r="BC16" s="17" t="str">
        <f t="shared" si="2"/>
        <v/>
      </c>
      <c r="BD16" s="17" t="str">
        <f t="shared" si="3"/>
        <v/>
      </c>
      <c r="BE16" s="26" t="str">
        <f t="shared" si="4"/>
        <v/>
      </c>
    </row>
    <row r="17" spans="1:57" ht="12" customHeight="1" x14ac:dyDescent="0.4">
      <c r="A17" s="37">
        <v>10</v>
      </c>
      <c r="B17" s="18">
        <f>'C. FILIACION'!B17</f>
        <v>0</v>
      </c>
      <c r="C17" s="42"/>
      <c r="D17" s="42"/>
      <c r="E17" s="42"/>
      <c r="F17" s="42"/>
      <c r="G17" s="42"/>
      <c r="H17" s="42"/>
      <c r="I17" s="42"/>
      <c r="J17" s="42"/>
      <c r="K17" s="42"/>
      <c r="L17" s="42"/>
      <c r="M17" s="42"/>
      <c r="N17" s="42"/>
      <c r="O17" s="42"/>
      <c r="P17" s="42"/>
      <c r="Q17" s="42"/>
      <c r="R17" s="42"/>
      <c r="S17" s="42"/>
      <c r="T17" s="42"/>
      <c r="U17" s="42"/>
      <c r="V17" s="42"/>
      <c r="W17" s="42"/>
      <c r="X17" s="42"/>
      <c r="Y17" s="42"/>
      <c r="Z17" s="42"/>
      <c r="AA17" s="42"/>
      <c r="AB17" s="42"/>
      <c r="AC17" s="42"/>
      <c r="AD17" s="42"/>
      <c r="AE17" s="42"/>
      <c r="AF17" s="42"/>
      <c r="AG17" s="42"/>
      <c r="AH17" s="42"/>
      <c r="AI17" s="42"/>
      <c r="AJ17" s="42"/>
      <c r="AK17" s="42"/>
      <c r="AL17" s="42"/>
      <c r="AM17" s="42"/>
      <c r="AN17" s="42"/>
      <c r="AO17" s="42"/>
      <c r="AP17" s="42"/>
      <c r="AQ17" s="42"/>
      <c r="AR17" s="42"/>
      <c r="AS17" s="42"/>
      <c r="AT17" s="42"/>
      <c r="AU17" s="42"/>
      <c r="AV17" s="42"/>
      <c r="AW17" s="42"/>
      <c r="AX17" s="42"/>
      <c r="AY17" s="42"/>
      <c r="AZ17" s="43"/>
      <c r="BA17" s="25" t="str">
        <f t="shared" si="0"/>
        <v/>
      </c>
      <c r="BB17" s="17" t="str">
        <f t="shared" si="1"/>
        <v/>
      </c>
      <c r="BC17" s="17" t="str">
        <f t="shared" si="2"/>
        <v/>
      </c>
      <c r="BD17" s="17" t="str">
        <f t="shared" si="3"/>
        <v/>
      </c>
      <c r="BE17" s="26" t="str">
        <f t="shared" si="4"/>
        <v/>
      </c>
    </row>
    <row r="18" spans="1:57" ht="12" customHeight="1" x14ac:dyDescent="0.4">
      <c r="A18" s="37">
        <v>11</v>
      </c>
      <c r="B18" s="18">
        <f>'C. FILIACION'!B18</f>
        <v>0</v>
      </c>
      <c r="C18" s="42"/>
      <c r="D18" s="42"/>
      <c r="E18" s="42"/>
      <c r="F18" s="42"/>
      <c r="G18" s="42"/>
      <c r="H18" s="42"/>
      <c r="I18" s="42"/>
      <c r="J18" s="42"/>
      <c r="K18" s="42"/>
      <c r="L18" s="42"/>
      <c r="M18" s="42"/>
      <c r="N18" s="42"/>
      <c r="O18" s="42"/>
      <c r="P18" s="42"/>
      <c r="Q18" s="42"/>
      <c r="R18" s="42"/>
      <c r="S18" s="42"/>
      <c r="T18" s="42"/>
      <c r="U18" s="42"/>
      <c r="V18" s="42"/>
      <c r="W18" s="42"/>
      <c r="X18" s="42"/>
      <c r="Y18" s="42"/>
      <c r="Z18" s="42"/>
      <c r="AA18" s="42"/>
      <c r="AB18" s="42"/>
      <c r="AC18" s="42"/>
      <c r="AD18" s="42"/>
      <c r="AE18" s="42"/>
      <c r="AF18" s="42"/>
      <c r="AG18" s="42"/>
      <c r="AH18" s="42"/>
      <c r="AI18" s="42"/>
      <c r="AJ18" s="42"/>
      <c r="AK18" s="42"/>
      <c r="AL18" s="42"/>
      <c r="AM18" s="42"/>
      <c r="AN18" s="42"/>
      <c r="AO18" s="42"/>
      <c r="AP18" s="42"/>
      <c r="AQ18" s="42"/>
      <c r="AR18" s="42"/>
      <c r="AS18" s="42"/>
      <c r="AT18" s="42"/>
      <c r="AU18" s="42"/>
      <c r="AV18" s="42"/>
      <c r="AW18" s="42"/>
      <c r="AX18" s="42"/>
      <c r="AY18" s="42"/>
      <c r="AZ18" s="43"/>
      <c r="BA18" s="25" t="str">
        <f t="shared" si="0"/>
        <v/>
      </c>
      <c r="BB18" s="17" t="str">
        <f t="shared" si="1"/>
        <v/>
      </c>
      <c r="BC18" s="17" t="str">
        <f t="shared" si="2"/>
        <v/>
      </c>
      <c r="BD18" s="17" t="str">
        <f t="shared" si="3"/>
        <v/>
      </c>
      <c r="BE18" s="26" t="str">
        <f t="shared" si="4"/>
        <v/>
      </c>
    </row>
    <row r="19" spans="1:57" ht="12" customHeight="1" x14ac:dyDescent="0.4">
      <c r="A19" s="37">
        <v>12</v>
      </c>
      <c r="B19" s="18">
        <f>'C. FILIACION'!B19</f>
        <v>0</v>
      </c>
      <c r="C19" s="42"/>
      <c r="D19" s="42"/>
      <c r="E19" s="42"/>
      <c r="F19" s="42"/>
      <c r="G19" s="42"/>
      <c r="H19" s="42"/>
      <c r="I19" s="42"/>
      <c r="J19" s="42"/>
      <c r="K19" s="42"/>
      <c r="L19" s="42"/>
      <c r="M19" s="42"/>
      <c r="N19" s="42"/>
      <c r="O19" s="42"/>
      <c r="P19" s="42"/>
      <c r="Q19" s="42"/>
      <c r="R19" s="42"/>
      <c r="S19" s="42"/>
      <c r="T19" s="42"/>
      <c r="U19" s="42"/>
      <c r="V19" s="42"/>
      <c r="W19" s="42"/>
      <c r="X19" s="42"/>
      <c r="Y19" s="42"/>
      <c r="Z19" s="42"/>
      <c r="AA19" s="42"/>
      <c r="AB19" s="42"/>
      <c r="AC19" s="42"/>
      <c r="AD19" s="42"/>
      <c r="AE19" s="42"/>
      <c r="AF19" s="42"/>
      <c r="AG19" s="42"/>
      <c r="AH19" s="42"/>
      <c r="AI19" s="42"/>
      <c r="AJ19" s="42"/>
      <c r="AK19" s="42"/>
      <c r="AL19" s="42"/>
      <c r="AM19" s="42"/>
      <c r="AN19" s="42"/>
      <c r="AO19" s="42"/>
      <c r="AP19" s="42"/>
      <c r="AQ19" s="42"/>
      <c r="AR19" s="42"/>
      <c r="AS19" s="42"/>
      <c r="AT19" s="42"/>
      <c r="AU19" s="42"/>
      <c r="AV19" s="42"/>
      <c r="AW19" s="42"/>
      <c r="AX19" s="42"/>
      <c r="AY19" s="42"/>
      <c r="AZ19" s="43"/>
      <c r="BA19" s="25" t="str">
        <f t="shared" si="0"/>
        <v/>
      </c>
      <c r="BB19" s="17" t="str">
        <f t="shared" si="1"/>
        <v/>
      </c>
      <c r="BC19" s="17" t="str">
        <f t="shared" si="2"/>
        <v/>
      </c>
      <c r="BD19" s="17" t="str">
        <f t="shared" si="3"/>
        <v/>
      </c>
      <c r="BE19" s="26" t="str">
        <f t="shared" si="4"/>
        <v/>
      </c>
    </row>
    <row r="20" spans="1:57" ht="12" customHeight="1" x14ac:dyDescent="0.4">
      <c r="A20" s="37">
        <v>13</v>
      </c>
      <c r="B20" s="18">
        <f>'C. FILIACION'!B20</f>
        <v>0</v>
      </c>
      <c r="C20" s="42"/>
      <c r="D20" s="42"/>
      <c r="E20" s="42"/>
      <c r="F20" s="42"/>
      <c r="G20" s="42"/>
      <c r="H20" s="42"/>
      <c r="I20" s="42"/>
      <c r="J20" s="42"/>
      <c r="K20" s="42"/>
      <c r="L20" s="42"/>
      <c r="M20" s="42"/>
      <c r="N20" s="42"/>
      <c r="O20" s="42"/>
      <c r="P20" s="42"/>
      <c r="Q20" s="42"/>
      <c r="R20" s="42"/>
      <c r="S20" s="42"/>
      <c r="T20" s="42"/>
      <c r="U20" s="42"/>
      <c r="V20" s="42"/>
      <c r="W20" s="42"/>
      <c r="X20" s="42"/>
      <c r="Y20" s="42"/>
      <c r="Z20" s="42"/>
      <c r="AA20" s="42"/>
      <c r="AB20" s="42"/>
      <c r="AC20" s="42"/>
      <c r="AD20" s="42"/>
      <c r="AE20" s="42"/>
      <c r="AF20" s="42"/>
      <c r="AG20" s="42"/>
      <c r="AH20" s="42"/>
      <c r="AI20" s="42"/>
      <c r="AJ20" s="42"/>
      <c r="AK20" s="42"/>
      <c r="AL20" s="42"/>
      <c r="AM20" s="42"/>
      <c r="AN20" s="42"/>
      <c r="AO20" s="42"/>
      <c r="AP20" s="42"/>
      <c r="AQ20" s="42"/>
      <c r="AR20" s="42"/>
      <c r="AS20" s="42"/>
      <c r="AT20" s="42"/>
      <c r="AU20" s="42"/>
      <c r="AV20" s="42"/>
      <c r="AW20" s="42"/>
      <c r="AX20" s="42"/>
      <c r="AY20" s="42"/>
      <c r="AZ20" s="43"/>
      <c r="BA20" s="25" t="str">
        <f t="shared" si="0"/>
        <v/>
      </c>
      <c r="BB20" s="17" t="str">
        <f t="shared" si="1"/>
        <v/>
      </c>
      <c r="BC20" s="17" t="str">
        <f t="shared" si="2"/>
        <v/>
      </c>
      <c r="BD20" s="17" t="str">
        <f t="shared" si="3"/>
        <v/>
      </c>
      <c r="BE20" s="26" t="str">
        <f t="shared" si="4"/>
        <v/>
      </c>
    </row>
    <row r="21" spans="1:57" ht="12" customHeight="1" x14ac:dyDescent="0.4">
      <c r="A21" s="37">
        <v>14</v>
      </c>
      <c r="B21" s="18">
        <f>'C. FILIACION'!B21</f>
        <v>0</v>
      </c>
      <c r="C21" s="42"/>
      <c r="D21" s="42"/>
      <c r="E21" s="42"/>
      <c r="F21" s="42"/>
      <c r="G21" s="42"/>
      <c r="H21" s="42"/>
      <c r="I21" s="42"/>
      <c r="J21" s="42"/>
      <c r="K21" s="42"/>
      <c r="L21" s="42"/>
      <c r="M21" s="42"/>
      <c r="N21" s="42"/>
      <c r="O21" s="42"/>
      <c r="P21" s="42"/>
      <c r="Q21" s="42"/>
      <c r="R21" s="42"/>
      <c r="S21" s="42"/>
      <c r="T21" s="42"/>
      <c r="U21" s="42"/>
      <c r="V21" s="42"/>
      <c r="W21" s="42"/>
      <c r="X21" s="42"/>
      <c r="Y21" s="42"/>
      <c r="Z21" s="42"/>
      <c r="AA21" s="42"/>
      <c r="AB21" s="42"/>
      <c r="AC21" s="42"/>
      <c r="AD21" s="42"/>
      <c r="AE21" s="42"/>
      <c r="AF21" s="42"/>
      <c r="AG21" s="42"/>
      <c r="AH21" s="42"/>
      <c r="AI21" s="42"/>
      <c r="AJ21" s="42"/>
      <c r="AK21" s="42"/>
      <c r="AL21" s="42"/>
      <c r="AM21" s="42"/>
      <c r="AN21" s="42"/>
      <c r="AO21" s="42"/>
      <c r="AP21" s="42"/>
      <c r="AQ21" s="42"/>
      <c r="AR21" s="42"/>
      <c r="AS21" s="42"/>
      <c r="AT21" s="42"/>
      <c r="AU21" s="42"/>
      <c r="AV21" s="42"/>
      <c r="AW21" s="42"/>
      <c r="AX21" s="42"/>
      <c r="AY21" s="42"/>
      <c r="AZ21" s="43"/>
      <c r="BA21" s="25" t="str">
        <f t="shared" si="0"/>
        <v/>
      </c>
      <c r="BB21" s="17" t="str">
        <f t="shared" si="1"/>
        <v/>
      </c>
      <c r="BC21" s="17" t="str">
        <f t="shared" si="2"/>
        <v/>
      </c>
      <c r="BD21" s="17" t="str">
        <f t="shared" si="3"/>
        <v/>
      </c>
      <c r="BE21" s="26" t="str">
        <f t="shared" si="4"/>
        <v/>
      </c>
    </row>
    <row r="22" spans="1:57" ht="12" customHeight="1" x14ac:dyDescent="0.4">
      <c r="A22" s="37">
        <v>15</v>
      </c>
      <c r="B22" s="18">
        <f>'C. FILIACION'!B22</f>
        <v>0</v>
      </c>
      <c r="C22" s="42"/>
      <c r="D22" s="42"/>
      <c r="E22" s="42"/>
      <c r="F22" s="42"/>
      <c r="G22" s="42"/>
      <c r="H22" s="42"/>
      <c r="I22" s="42"/>
      <c r="J22" s="42"/>
      <c r="K22" s="42"/>
      <c r="L22" s="42"/>
      <c r="M22" s="42"/>
      <c r="N22" s="42"/>
      <c r="O22" s="42"/>
      <c r="P22" s="42"/>
      <c r="Q22" s="42"/>
      <c r="R22" s="42"/>
      <c r="S22" s="42"/>
      <c r="T22" s="42"/>
      <c r="U22" s="42"/>
      <c r="V22" s="42"/>
      <c r="W22" s="42"/>
      <c r="X22" s="42"/>
      <c r="Y22" s="42"/>
      <c r="Z22" s="42"/>
      <c r="AA22" s="42"/>
      <c r="AB22" s="42"/>
      <c r="AC22" s="42"/>
      <c r="AD22" s="42"/>
      <c r="AE22" s="42"/>
      <c r="AF22" s="42"/>
      <c r="AG22" s="42"/>
      <c r="AH22" s="42"/>
      <c r="AI22" s="42"/>
      <c r="AJ22" s="42"/>
      <c r="AK22" s="42"/>
      <c r="AL22" s="42"/>
      <c r="AM22" s="42"/>
      <c r="AN22" s="42"/>
      <c r="AO22" s="42"/>
      <c r="AP22" s="42"/>
      <c r="AQ22" s="42"/>
      <c r="AR22" s="42"/>
      <c r="AS22" s="42"/>
      <c r="AT22" s="42"/>
      <c r="AU22" s="42"/>
      <c r="AV22" s="42"/>
      <c r="AW22" s="42"/>
      <c r="AX22" s="42"/>
      <c r="AY22" s="42"/>
      <c r="AZ22" s="43"/>
      <c r="BA22" s="25" t="str">
        <f t="shared" si="0"/>
        <v/>
      </c>
      <c r="BB22" s="17" t="str">
        <f t="shared" si="1"/>
        <v/>
      </c>
      <c r="BC22" s="17" t="str">
        <f t="shared" si="2"/>
        <v/>
      </c>
      <c r="BD22" s="17" t="str">
        <f t="shared" si="3"/>
        <v/>
      </c>
      <c r="BE22" s="26" t="str">
        <f t="shared" si="4"/>
        <v/>
      </c>
    </row>
    <row r="23" spans="1:57" ht="12" customHeight="1" x14ac:dyDescent="0.4">
      <c r="A23" s="37">
        <v>16</v>
      </c>
      <c r="B23" s="18">
        <f>'C. FILIACION'!B23</f>
        <v>0</v>
      </c>
      <c r="C23" s="42"/>
      <c r="D23" s="42"/>
      <c r="E23" s="42"/>
      <c r="F23" s="42"/>
      <c r="G23" s="42"/>
      <c r="H23" s="42"/>
      <c r="I23" s="42"/>
      <c r="J23" s="42"/>
      <c r="K23" s="42"/>
      <c r="L23" s="42"/>
      <c r="M23" s="42"/>
      <c r="N23" s="42"/>
      <c r="O23" s="42"/>
      <c r="P23" s="42"/>
      <c r="Q23" s="42"/>
      <c r="R23" s="42"/>
      <c r="S23" s="42"/>
      <c r="T23" s="42"/>
      <c r="U23" s="42"/>
      <c r="V23" s="42"/>
      <c r="W23" s="42"/>
      <c r="X23" s="42"/>
      <c r="Y23" s="42"/>
      <c r="Z23" s="42"/>
      <c r="AA23" s="42"/>
      <c r="AB23" s="42"/>
      <c r="AC23" s="42"/>
      <c r="AD23" s="42"/>
      <c r="AE23" s="42"/>
      <c r="AF23" s="42"/>
      <c r="AG23" s="42"/>
      <c r="AH23" s="42"/>
      <c r="AI23" s="42"/>
      <c r="AJ23" s="42"/>
      <c r="AK23" s="42"/>
      <c r="AL23" s="42"/>
      <c r="AM23" s="42"/>
      <c r="AN23" s="42"/>
      <c r="AO23" s="42"/>
      <c r="AP23" s="42"/>
      <c r="AQ23" s="42"/>
      <c r="AR23" s="42"/>
      <c r="AS23" s="42"/>
      <c r="AT23" s="42"/>
      <c r="AU23" s="42"/>
      <c r="AV23" s="42"/>
      <c r="AW23" s="42"/>
      <c r="AX23" s="42"/>
      <c r="AY23" s="42"/>
      <c r="AZ23" s="43"/>
      <c r="BA23" s="25" t="str">
        <f t="shared" si="0"/>
        <v/>
      </c>
      <c r="BB23" s="17" t="str">
        <f t="shared" si="1"/>
        <v/>
      </c>
      <c r="BC23" s="17" t="str">
        <f t="shared" si="2"/>
        <v/>
      </c>
      <c r="BD23" s="17" t="str">
        <f t="shared" si="3"/>
        <v/>
      </c>
      <c r="BE23" s="26" t="str">
        <f t="shared" si="4"/>
        <v/>
      </c>
    </row>
    <row r="24" spans="1:57" ht="12" customHeight="1" x14ac:dyDescent="0.4">
      <c r="A24" s="37">
        <v>17</v>
      </c>
      <c r="B24" s="18">
        <f>'C. FILIACION'!B24</f>
        <v>0</v>
      </c>
      <c r="C24" s="42"/>
      <c r="D24" s="42"/>
      <c r="E24" s="42"/>
      <c r="F24" s="42"/>
      <c r="G24" s="42"/>
      <c r="H24" s="42"/>
      <c r="I24" s="42"/>
      <c r="J24" s="42"/>
      <c r="K24" s="42"/>
      <c r="L24" s="42"/>
      <c r="M24" s="42"/>
      <c r="N24" s="42"/>
      <c r="O24" s="42"/>
      <c r="P24" s="42"/>
      <c r="Q24" s="42"/>
      <c r="R24" s="42"/>
      <c r="S24" s="42"/>
      <c r="T24" s="42"/>
      <c r="U24" s="42"/>
      <c r="V24" s="42"/>
      <c r="W24" s="42"/>
      <c r="X24" s="42"/>
      <c r="Y24" s="42"/>
      <c r="Z24" s="42"/>
      <c r="AA24" s="42"/>
      <c r="AB24" s="42"/>
      <c r="AC24" s="42"/>
      <c r="AD24" s="42"/>
      <c r="AE24" s="42"/>
      <c r="AF24" s="42"/>
      <c r="AG24" s="42"/>
      <c r="AH24" s="42"/>
      <c r="AI24" s="42"/>
      <c r="AJ24" s="42"/>
      <c r="AK24" s="42"/>
      <c r="AL24" s="42"/>
      <c r="AM24" s="42"/>
      <c r="AN24" s="42"/>
      <c r="AO24" s="42"/>
      <c r="AP24" s="42"/>
      <c r="AQ24" s="42"/>
      <c r="AR24" s="42"/>
      <c r="AS24" s="42"/>
      <c r="AT24" s="42"/>
      <c r="AU24" s="42"/>
      <c r="AV24" s="42"/>
      <c r="AW24" s="42"/>
      <c r="AX24" s="42"/>
      <c r="AY24" s="42"/>
      <c r="AZ24" s="43"/>
      <c r="BA24" s="25" t="str">
        <f t="shared" si="0"/>
        <v/>
      </c>
      <c r="BB24" s="17" t="str">
        <f t="shared" si="1"/>
        <v/>
      </c>
      <c r="BC24" s="17" t="str">
        <f t="shared" si="2"/>
        <v/>
      </c>
      <c r="BD24" s="17" t="str">
        <f t="shared" si="3"/>
        <v/>
      </c>
      <c r="BE24" s="26" t="str">
        <f t="shared" si="4"/>
        <v/>
      </c>
    </row>
    <row r="25" spans="1:57" ht="12" customHeight="1" x14ac:dyDescent="0.4">
      <c r="A25" s="37">
        <v>18</v>
      </c>
      <c r="B25" s="18">
        <f>'C. FILIACION'!B25</f>
        <v>0</v>
      </c>
      <c r="C25" s="42"/>
      <c r="D25" s="42"/>
      <c r="E25" s="42"/>
      <c r="F25" s="42"/>
      <c r="G25" s="42"/>
      <c r="H25" s="42"/>
      <c r="I25" s="42"/>
      <c r="J25" s="42"/>
      <c r="K25" s="42"/>
      <c r="L25" s="42"/>
      <c r="M25" s="42"/>
      <c r="N25" s="42"/>
      <c r="O25" s="42"/>
      <c r="P25" s="42"/>
      <c r="Q25" s="42"/>
      <c r="R25" s="42"/>
      <c r="S25" s="42"/>
      <c r="T25" s="42"/>
      <c r="U25" s="42"/>
      <c r="V25" s="42"/>
      <c r="W25" s="42"/>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42"/>
      <c r="AW25" s="42"/>
      <c r="AX25" s="42"/>
      <c r="AY25" s="42"/>
      <c r="AZ25" s="43"/>
      <c r="BA25" s="25" t="str">
        <f t="shared" si="0"/>
        <v/>
      </c>
      <c r="BB25" s="17" t="str">
        <f t="shared" si="1"/>
        <v/>
      </c>
      <c r="BC25" s="17" t="str">
        <f t="shared" si="2"/>
        <v/>
      </c>
      <c r="BD25" s="17" t="str">
        <f t="shared" si="3"/>
        <v/>
      </c>
      <c r="BE25" s="26" t="str">
        <f t="shared" si="4"/>
        <v/>
      </c>
    </row>
    <row r="26" spans="1:57" ht="12" customHeight="1" x14ac:dyDescent="0.4">
      <c r="A26" s="37">
        <v>19</v>
      </c>
      <c r="B26" s="18">
        <f>'C. FILIACION'!B26</f>
        <v>0</v>
      </c>
      <c r="C26" s="42"/>
      <c r="D26" s="42"/>
      <c r="E26" s="42"/>
      <c r="F26" s="42"/>
      <c r="G26" s="42"/>
      <c r="H26" s="42"/>
      <c r="I26" s="42"/>
      <c r="J26" s="42"/>
      <c r="K26" s="42"/>
      <c r="L26" s="42"/>
      <c r="M26" s="42"/>
      <c r="N26" s="42"/>
      <c r="O26" s="42"/>
      <c r="P26" s="42"/>
      <c r="Q26" s="42"/>
      <c r="R26" s="42"/>
      <c r="S26" s="42"/>
      <c r="T26" s="42"/>
      <c r="U26" s="42"/>
      <c r="V26" s="42"/>
      <c r="W26" s="42"/>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42"/>
      <c r="AW26" s="42"/>
      <c r="AX26" s="42"/>
      <c r="AY26" s="42"/>
      <c r="AZ26" s="43"/>
      <c r="BA26" s="25" t="str">
        <f t="shared" si="0"/>
        <v/>
      </c>
      <c r="BB26" s="17" t="str">
        <f t="shared" si="1"/>
        <v/>
      </c>
      <c r="BC26" s="17" t="str">
        <f t="shared" si="2"/>
        <v/>
      </c>
      <c r="BD26" s="17" t="str">
        <f t="shared" si="3"/>
        <v/>
      </c>
      <c r="BE26" s="26" t="str">
        <f t="shared" si="4"/>
        <v/>
      </c>
    </row>
    <row r="27" spans="1:57" ht="12" customHeight="1" x14ac:dyDescent="0.4">
      <c r="A27" s="37">
        <v>20</v>
      </c>
      <c r="B27" s="18">
        <f>'C. FILIACION'!B27</f>
        <v>0</v>
      </c>
      <c r="C27" s="42"/>
      <c r="D27" s="42"/>
      <c r="E27" s="42"/>
      <c r="F27" s="42"/>
      <c r="G27" s="42"/>
      <c r="H27" s="42"/>
      <c r="I27" s="42"/>
      <c r="J27" s="42"/>
      <c r="K27" s="42"/>
      <c r="L27" s="42"/>
      <c r="M27" s="42"/>
      <c r="N27" s="42"/>
      <c r="O27" s="42"/>
      <c r="P27" s="42"/>
      <c r="Q27" s="42"/>
      <c r="R27" s="42"/>
      <c r="S27" s="42"/>
      <c r="T27" s="42"/>
      <c r="U27" s="42"/>
      <c r="V27" s="42"/>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42"/>
      <c r="AV27" s="42"/>
      <c r="AW27" s="42"/>
      <c r="AX27" s="42"/>
      <c r="AY27" s="42"/>
      <c r="AZ27" s="43"/>
      <c r="BA27" s="25" t="str">
        <f t="shared" si="0"/>
        <v/>
      </c>
      <c r="BB27" s="17" t="str">
        <f t="shared" si="1"/>
        <v/>
      </c>
      <c r="BC27" s="17" t="str">
        <f t="shared" si="2"/>
        <v/>
      </c>
      <c r="BD27" s="17" t="str">
        <f t="shared" si="3"/>
        <v/>
      </c>
      <c r="BE27" s="26" t="str">
        <f t="shared" si="4"/>
        <v/>
      </c>
    </row>
    <row r="28" spans="1:57" ht="12" customHeight="1" x14ac:dyDescent="0.4">
      <c r="A28" s="37">
        <v>21</v>
      </c>
      <c r="B28" s="18">
        <f>'C. FILIACION'!B28</f>
        <v>0</v>
      </c>
      <c r="C28" s="42"/>
      <c r="D28" s="42"/>
      <c r="E28" s="42"/>
      <c r="F28" s="42"/>
      <c r="G28" s="42"/>
      <c r="H28" s="42"/>
      <c r="I28" s="42"/>
      <c r="J28" s="42"/>
      <c r="K28" s="42"/>
      <c r="L28" s="42"/>
      <c r="M28" s="42"/>
      <c r="N28" s="42"/>
      <c r="O28" s="42"/>
      <c r="P28" s="42"/>
      <c r="Q28" s="42"/>
      <c r="R28" s="42"/>
      <c r="S28" s="42"/>
      <c r="T28" s="42"/>
      <c r="U28" s="42"/>
      <c r="V28" s="42"/>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42"/>
      <c r="AV28" s="42"/>
      <c r="AW28" s="42"/>
      <c r="AX28" s="42"/>
      <c r="AY28" s="42"/>
      <c r="AZ28" s="43"/>
      <c r="BA28" s="25" t="str">
        <f t="shared" si="0"/>
        <v/>
      </c>
      <c r="BB28" s="17" t="str">
        <f t="shared" si="1"/>
        <v/>
      </c>
      <c r="BC28" s="17" t="str">
        <f t="shared" si="2"/>
        <v/>
      </c>
      <c r="BD28" s="17" t="str">
        <f t="shared" si="3"/>
        <v/>
      </c>
      <c r="BE28" s="26" t="str">
        <f t="shared" si="4"/>
        <v/>
      </c>
    </row>
    <row r="29" spans="1:57" ht="12" customHeight="1" x14ac:dyDescent="0.4">
      <c r="A29" s="37">
        <v>22</v>
      </c>
      <c r="B29" s="18">
        <f>'C. FILIACION'!B29</f>
        <v>0</v>
      </c>
      <c r="C29" s="42"/>
      <c r="D29" s="42"/>
      <c r="E29" s="42"/>
      <c r="F29" s="42"/>
      <c r="G29" s="42"/>
      <c r="H29" s="42"/>
      <c r="I29" s="42"/>
      <c r="J29" s="42"/>
      <c r="K29" s="42"/>
      <c r="L29" s="42"/>
      <c r="M29" s="42"/>
      <c r="N29" s="42"/>
      <c r="O29" s="42"/>
      <c r="P29" s="42"/>
      <c r="Q29" s="42"/>
      <c r="R29" s="42"/>
      <c r="S29" s="42"/>
      <c r="T29" s="42"/>
      <c r="U29" s="42"/>
      <c r="V29" s="42"/>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42"/>
      <c r="AV29" s="42"/>
      <c r="AW29" s="42"/>
      <c r="AX29" s="42"/>
      <c r="AY29" s="42"/>
      <c r="AZ29" s="43"/>
      <c r="BA29" s="25" t="str">
        <f t="shared" si="0"/>
        <v/>
      </c>
      <c r="BB29" s="17" t="str">
        <f t="shared" si="1"/>
        <v/>
      </c>
      <c r="BC29" s="17" t="str">
        <f t="shared" si="2"/>
        <v/>
      </c>
      <c r="BD29" s="17" t="str">
        <f t="shared" si="3"/>
        <v/>
      </c>
      <c r="BE29" s="26" t="str">
        <f t="shared" si="4"/>
        <v/>
      </c>
    </row>
    <row r="30" spans="1:57" ht="12" customHeight="1" x14ac:dyDescent="0.4">
      <c r="A30" s="37">
        <v>23</v>
      </c>
      <c r="B30" s="18">
        <f>'C. FILIACION'!B30</f>
        <v>0</v>
      </c>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42"/>
      <c r="AU30" s="42"/>
      <c r="AV30" s="42"/>
      <c r="AW30" s="42"/>
      <c r="AX30" s="42"/>
      <c r="AY30" s="42"/>
      <c r="AZ30" s="43"/>
      <c r="BA30" s="25" t="str">
        <f t="shared" si="0"/>
        <v/>
      </c>
      <c r="BB30" s="17" t="str">
        <f t="shared" si="1"/>
        <v/>
      </c>
      <c r="BC30" s="17" t="str">
        <f t="shared" si="2"/>
        <v/>
      </c>
      <c r="BD30" s="17" t="str">
        <f t="shared" si="3"/>
        <v/>
      </c>
      <c r="BE30" s="26" t="str">
        <f t="shared" si="4"/>
        <v/>
      </c>
    </row>
    <row r="31" spans="1:57" ht="12" customHeight="1" x14ac:dyDescent="0.4">
      <c r="A31" s="37">
        <v>24</v>
      </c>
      <c r="B31" s="18">
        <f>'C. FILIACION'!B31</f>
        <v>0</v>
      </c>
      <c r="C31" s="42"/>
      <c r="D31" s="42"/>
      <c r="E31" s="42"/>
      <c r="F31" s="42"/>
      <c r="G31" s="42"/>
      <c r="H31" s="42"/>
      <c r="I31" s="42"/>
      <c r="J31" s="42"/>
      <c r="K31" s="42"/>
      <c r="L31" s="42"/>
      <c r="M31" s="42"/>
      <c r="N31" s="42"/>
      <c r="O31" s="42"/>
      <c r="P31" s="42"/>
      <c r="Q31" s="42"/>
      <c r="R31" s="42"/>
      <c r="S31" s="42"/>
      <c r="T31" s="42"/>
      <c r="U31" s="42"/>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42"/>
      <c r="AU31" s="42"/>
      <c r="AV31" s="42"/>
      <c r="AW31" s="42"/>
      <c r="AX31" s="42"/>
      <c r="AY31" s="42"/>
      <c r="AZ31" s="43"/>
      <c r="BA31" s="25" t="str">
        <f t="shared" si="0"/>
        <v/>
      </c>
      <c r="BB31" s="17" t="str">
        <f t="shared" si="1"/>
        <v/>
      </c>
      <c r="BC31" s="17" t="str">
        <f t="shared" si="2"/>
        <v/>
      </c>
      <c r="BD31" s="17" t="str">
        <f t="shared" si="3"/>
        <v/>
      </c>
      <c r="BE31" s="26" t="str">
        <f t="shared" si="4"/>
        <v/>
      </c>
    </row>
    <row r="32" spans="1:57" ht="12" customHeight="1" x14ac:dyDescent="0.4">
      <c r="A32" s="37">
        <v>25</v>
      </c>
      <c r="B32" s="18">
        <f>'C. FILIACION'!B32</f>
        <v>0</v>
      </c>
      <c r="C32" s="42"/>
      <c r="D32" s="42"/>
      <c r="E32" s="42"/>
      <c r="F32" s="42"/>
      <c r="G32" s="42"/>
      <c r="H32" s="42"/>
      <c r="I32" s="42"/>
      <c r="J32" s="42"/>
      <c r="K32" s="42"/>
      <c r="L32" s="42"/>
      <c r="M32" s="42"/>
      <c r="N32" s="42"/>
      <c r="O32" s="42"/>
      <c r="P32" s="42"/>
      <c r="Q32" s="42"/>
      <c r="R32" s="42"/>
      <c r="S32" s="42"/>
      <c r="T32" s="42"/>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42"/>
      <c r="AT32" s="42"/>
      <c r="AU32" s="42"/>
      <c r="AV32" s="42"/>
      <c r="AW32" s="42"/>
      <c r="AX32" s="42"/>
      <c r="AY32" s="42"/>
      <c r="AZ32" s="43"/>
      <c r="BA32" s="25" t="str">
        <f t="shared" si="0"/>
        <v/>
      </c>
      <c r="BB32" s="17" t="str">
        <f t="shared" si="1"/>
        <v/>
      </c>
      <c r="BC32" s="17" t="str">
        <f t="shared" si="2"/>
        <v/>
      </c>
      <c r="BD32" s="17" t="str">
        <f t="shared" si="3"/>
        <v/>
      </c>
      <c r="BE32" s="26" t="str">
        <f t="shared" si="4"/>
        <v/>
      </c>
    </row>
    <row r="33" spans="1:57" ht="12" customHeight="1" x14ac:dyDescent="0.4">
      <c r="A33" s="37">
        <v>26</v>
      </c>
      <c r="B33" s="18">
        <f>'C. FILIACION'!B33</f>
        <v>0</v>
      </c>
      <c r="C33" s="42"/>
      <c r="D33" s="42"/>
      <c r="E33" s="42"/>
      <c r="F33" s="42"/>
      <c r="G33" s="42"/>
      <c r="H33" s="42"/>
      <c r="I33" s="42"/>
      <c r="J33" s="42"/>
      <c r="K33" s="42"/>
      <c r="L33" s="42"/>
      <c r="M33" s="42"/>
      <c r="N33" s="42"/>
      <c r="O33" s="42"/>
      <c r="P33" s="42"/>
      <c r="Q33" s="42"/>
      <c r="R33" s="42"/>
      <c r="S33" s="42"/>
      <c r="T33" s="42"/>
      <c r="U33" s="42"/>
      <c r="V33" s="42"/>
      <c r="W33" s="42"/>
      <c r="X33" s="42"/>
      <c r="Y33" s="42"/>
      <c r="Z33" s="42"/>
      <c r="AA33" s="42"/>
      <c r="AB33" s="42"/>
      <c r="AC33" s="42"/>
      <c r="AD33" s="42"/>
      <c r="AE33" s="42"/>
      <c r="AF33" s="42"/>
      <c r="AG33" s="42"/>
      <c r="AH33" s="42"/>
      <c r="AI33" s="42"/>
      <c r="AJ33" s="42"/>
      <c r="AK33" s="42"/>
      <c r="AL33" s="42"/>
      <c r="AM33" s="42"/>
      <c r="AN33" s="42"/>
      <c r="AO33" s="42"/>
      <c r="AP33" s="42"/>
      <c r="AQ33" s="42"/>
      <c r="AR33" s="42"/>
      <c r="AS33" s="42"/>
      <c r="AT33" s="42"/>
      <c r="AU33" s="42"/>
      <c r="AV33" s="42"/>
      <c r="AW33" s="42"/>
      <c r="AX33" s="42"/>
      <c r="AY33" s="42"/>
      <c r="AZ33" s="43"/>
      <c r="BA33" s="25" t="str">
        <f t="shared" si="0"/>
        <v/>
      </c>
      <c r="BB33" s="17" t="str">
        <f t="shared" si="1"/>
        <v/>
      </c>
      <c r="BC33" s="17" t="str">
        <f t="shared" si="2"/>
        <v/>
      </c>
      <c r="BD33" s="17" t="str">
        <f t="shared" si="3"/>
        <v/>
      </c>
      <c r="BE33" s="26" t="str">
        <f t="shared" si="4"/>
        <v/>
      </c>
    </row>
    <row r="34" spans="1:57" ht="12" customHeight="1" x14ac:dyDescent="0.4">
      <c r="A34" s="37">
        <v>27</v>
      </c>
      <c r="B34" s="18">
        <f>'C. FILIACION'!B34</f>
        <v>0</v>
      </c>
      <c r="C34" s="42"/>
      <c r="D34" s="42"/>
      <c r="E34" s="42"/>
      <c r="F34" s="42"/>
      <c r="G34" s="42"/>
      <c r="H34" s="42"/>
      <c r="I34" s="42"/>
      <c r="J34" s="42"/>
      <c r="K34" s="42"/>
      <c r="L34" s="42"/>
      <c r="M34" s="42"/>
      <c r="N34" s="42"/>
      <c r="O34" s="42"/>
      <c r="P34" s="42"/>
      <c r="Q34" s="42"/>
      <c r="R34" s="42"/>
      <c r="S34" s="42"/>
      <c r="T34" s="42"/>
      <c r="U34" s="42"/>
      <c r="V34" s="42"/>
      <c r="W34" s="42"/>
      <c r="X34" s="42"/>
      <c r="Y34" s="42"/>
      <c r="Z34" s="42"/>
      <c r="AA34" s="42"/>
      <c r="AB34" s="42"/>
      <c r="AC34" s="42"/>
      <c r="AD34" s="42"/>
      <c r="AE34" s="42"/>
      <c r="AF34" s="42"/>
      <c r="AG34" s="42"/>
      <c r="AH34" s="42"/>
      <c r="AI34" s="42"/>
      <c r="AJ34" s="42"/>
      <c r="AK34" s="42"/>
      <c r="AL34" s="42"/>
      <c r="AM34" s="42"/>
      <c r="AN34" s="42"/>
      <c r="AO34" s="42"/>
      <c r="AP34" s="42"/>
      <c r="AQ34" s="42"/>
      <c r="AR34" s="42"/>
      <c r="AS34" s="42"/>
      <c r="AT34" s="42"/>
      <c r="AU34" s="42"/>
      <c r="AV34" s="42"/>
      <c r="AW34" s="42"/>
      <c r="AX34" s="42"/>
      <c r="AY34" s="42"/>
      <c r="AZ34" s="43"/>
      <c r="BA34" s="25" t="str">
        <f t="shared" si="0"/>
        <v/>
      </c>
      <c r="BB34" s="17" t="str">
        <f t="shared" si="1"/>
        <v/>
      </c>
      <c r="BC34" s="17" t="str">
        <f t="shared" si="2"/>
        <v/>
      </c>
      <c r="BD34" s="17" t="str">
        <f t="shared" si="3"/>
        <v/>
      </c>
      <c r="BE34" s="26" t="str">
        <f t="shared" si="4"/>
        <v/>
      </c>
    </row>
    <row r="35" spans="1:57" ht="12" customHeight="1" x14ac:dyDescent="0.4">
      <c r="A35" s="37">
        <v>28</v>
      </c>
      <c r="B35" s="18">
        <f>'C. FILIACION'!B35</f>
        <v>0</v>
      </c>
      <c r="C35" s="42"/>
      <c r="D35" s="42"/>
      <c r="E35" s="42"/>
      <c r="F35" s="42"/>
      <c r="G35" s="42"/>
      <c r="H35" s="42"/>
      <c r="I35" s="42"/>
      <c r="J35" s="42"/>
      <c r="K35" s="42"/>
      <c r="L35" s="42"/>
      <c r="M35" s="42"/>
      <c r="N35" s="42"/>
      <c r="O35" s="42"/>
      <c r="P35" s="42"/>
      <c r="Q35" s="42"/>
      <c r="R35" s="42"/>
      <c r="S35" s="42"/>
      <c r="T35" s="42"/>
      <c r="U35" s="42"/>
      <c r="V35" s="42"/>
      <c r="W35" s="42"/>
      <c r="X35" s="42"/>
      <c r="Y35" s="42"/>
      <c r="Z35" s="42"/>
      <c r="AA35" s="42"/>
      <c r="AB35" s="42"/>
      <c r="AC35" s="42"/>
      <c r="AD35" s="42"/>
      <c r="AE35" s="42"/>
      <c r="AF35" s="42"/>
      <c r="AG35" s="42"/>
      <c r="AH35" s="42"/>
      <c r="AI35" s="42"/>
      <c r="AJ35" s="42"/>
      <c r="AK35" s="42"/>
      <c r="AL35" s="42"/>
      <c r="AM35" s="42"/>
      <c r="AN35" s="42"/>
      <c r="AO35" s="42"/>
      <c r="AP35" s="42"/>
      <c r="AQ35" s="42"/>
      <c r="AR35" s="42"/>
      <c r="AS35" s="42"/>
      <c r="AT35" s="42"/>
      <c r="AU35" s="42"/>
      <c r="AV35" s="42"/>
      <c r="AW35" s="42"/>
      <c r="AX35" s="42"/>
      <c r="AY35" s="42"/>
      <c r="AZ35" s="43"/>
      <c r="BA35" s="25" t="str">
        <f t="shared" si="0"/>
        <v/>
      </c>
      <c r="BB35" s="17" t="str">
        <f t="shared" si="1"/>
        <v/>
      </c>
      <c r="BC35" s="17" t="str">
        <f t="shared" si="2"/>
        <v/>
      </c>
      <c r="BD35" s="17" t="str">
        <f t="shared" si="3"/>
        <v/>
      </c>
      <c r="BE35" s="26" t="str">
        <f t="shared" si="4"/>
        <v/>
      </c>
    </row>
    <row r="36" spans="1:57" ht="12" customHeight="1" x14ac:dyDescent="0.4">
      <c r="A36" s="37">
        <v>29</v>
      </c>
      <c r="B36" s="18">
        <f>'C. FILIACION'!B36</f>
        <v>0</v>
      </c>
      <c r="C36" s="42"/>
      <c r="D36" s="42"/>
      <c r="E36" s="42"/>
      <c r="F36" s="42"/>
      <c r="G36" s="42"/>
      <c r="H36" s="42"/>
      <c r="I36" s="42"/>
      <c r="J36" s="42"/>
      <c r="K36" s="42"/>
      <c r="L36" s="42"/>
      <c r="M36" s="42"/>
      <c r="N36" s="42"/>
      <c r="O36" s="42"/>
      <c r="P36" s="42"/>
      <c r="Q36" s="42"/>
      <c r="R36" s="42"/>
      <c r="S36" s="42"/>
      <c r="T36" s="42"/>
      <c r="U36" s="42"/>
      <c r="V36" s="42"/>
      <c r="W36" s="42"/>
      <c r="X36" s="42"/>
      <c r="Y36" s="42"/>
      <c r="Z36" s="42"/>
      <c r="AA36" s="42"/>
      <c r="AB36" s="42"/>
      <c r="AC36" s="42"/>
      <c r="AD36" s="42"/>
      <c r="AE36" s="42"/>
      <c r="AF36" s="42"/>
      <c r="AG36" s="42"/>
      <c r="AH36" s="42"/>
      <c r="AI36" s="42"/>
      <c r="AJ36" s="42"/>
      <c r="AK36" s="42"/>
      <c r="AL36" s="42"/>
      <c r="AM36" s="42"/>
      <c r="AN36" s="42"/>
      <c r="AO36" s="42"/>
      <c r="AP36" s="42"/>
      <c r="AQ36" s="42"/>
      <c r="AR36" s="42"/>
      <c r="AS36" s="42"/>
      <c r="AT36" s="42"/>
      <c r="AU36" s="42"/>
      <c r="AV36" s="42"/>
      <c r="AW36" s="42"/>
      <c r="AX36" s="42"/>
      <c r="AY36" s="42"/>
      <c r="AZ36" s="43"/>
      <c r="BA36" s="25" t="str">
        <f t="shared" si="0"/>
        <v/>
      </c>
      <c r="BB36" s="17" t="str">
        <f t="shared" si="1"/>
        <v/>
      </c>
      <c r="BC36" s="17" t="str">
        <f t="shared" si="2"/>
        <v/>
      </c>
      <c r="BD36" s="17" t="str">
        <f t="shared" si="3"/>
        <v/>
      </c>
      <c r="BE36" s="26" t="str">
        <f t="shared" si="4"/>
        <v/>
      </c>
    </row>
    <row r="37" spans="1:57" ht="12" customHeight="1" x14ac:dyDescent="0.4">
      <c r="A37" s="37">
        <v>30</v>
      </c>
      <c r="B37" s="18">
        <f>'C. FILIACION'!B37</f>
        <v>0</v>
      </c>
      <c r="C37" s="42"/>
      <c r="D37" s="42"/>
      <c r="E37" s="42"/>
      <c r="F37" s="42"/>
      <c r="G37" s="42"/>
      <c r="H37" s="42"/>
      <c r="I37" s="42"/>
      <c r="J37" s="42"/>
      <c r="K37" s="42"/>
      <c r="L37" s="42"/>
      <c r="M37" s="42"/>
      <c r="N37" s="42"/>
      <c r="O37" s="42"/>
      <c r="P37" s="42"/>
      <c r="Q37" s="42"/>
      <c r="R37" s="42"/>
      <c r="S37" s="42"/>
      <c r="T37" s="42"/>
      <c r="U37" s="42"/>
      <c r="V37" s="42"/>
      <c r="W37" s="42"/>
      <c r="X37" s="42"/>
      <c r="Y37" s="42"/>
      <c r="Z37" s="42"/>
      <c r="AA37" s="42"/>
      <c r="AB37" s="42"/>
      <c r="AC37" s="42"/>
      <c r="AD37" s="42"/>
      <c r="AE37" s="42"/>
      <c r="AF37" s="42"/>
      <c r="AG37" s="42"/>
      <c r="AH37" s="42"/>
      <c r="AI37" s="42"/>
      <c r="AJ37" s="42"/>
      <c r="AK37" s="42"/>
      <c r="AL37" s="42"/>
      <c r="AM37" s="42"/>
      <c r="AN37" s="42"/>
      <c r="AO37" s="42"/>
      <c r="AP37" s="42"/>
      <c r="AQ37" s="42"/>
      <c r="AR37" s="42"/>
      <c r="AS37" s="42"/>
      <c r="AT37" s="42"/>
      <c r="AU37" s="42"/>
      <c r="AV37" s="42"/>
      <c r="AW37" s="42"/>
      <c r="AX37" s="42"/>
      <c r="AY37" s="42"/>
      <c r="AZ37" s="43"/>
      <c r="BA37" s="25" t="str">
        <f t="shared" si="0"/>
        <v/>
      </c>
      <c r="BB37" s="17" t="str">
        <f t="shared" si="1"/>
        <v/>
      </c>
      <c r="BC37" s="17" t="str">
        <f t="shared" si="2"/>
        <v/>
      </c>
      <c r="BD37" s="17" t="str">
        <f t="shared" si="3"/>
        <v/>
      </c>
      <c r="BE37" s="26" t="str">
        <f t="shared" si="4"/>
        <v/>
      </c>
    </row>
    <row r="38" spans="1:57" ht="12" customHeight="1" x14ac:dyDescent="0.4">
      <c r="A38" s="37">
        <v>31</v>
      </c>
      <c r="B38" s="18">
        <f>'C. FILIACION'!B38</f>
        <v>0</v>
      </c>
      <c r="C38" s="42"/>
      <c r="D38" s="42"/>
      <c r="E38" s="42"/>
      <c r="F38" s="42"/>
      <c r="G38" s="42"/>
      <c r="H38" s="42"/>
      <c r="I38" s="42"/>
      <c r="J38" s="42"/>
      <c r="K38" s="42"/>
      <c r="L38" s="42"/>
      <c r="M38" s="42"/>
      <c r="N38" s="42"/>
      <c r="O38" s="42"/>
      <c r="P38" s="42"/>
      <c r="Q38" s="42"/>
      <c r="R38" s="42"/>
      <c r="S38" s="42"/>
      <c r="T38" s="42"/>
      <c r="U38" s="42"/>
      <c r="V38" s="42"/>
      <c r="W38" s="42"/>
      <c r="X38" s="42"/>
      <c r="Y38" s="42"/>
      <c r="Z38" s="42"/>
      <c r="AA38" s="42"/>
      <c r="AB38" s="42"/>
      <c r="AC38" s="42"/>
      <c r="AD38" s="42"/>
      <c r="AE38" s="42"/>
      <c r="AF38" s="42"/>
      <c r="AG38" s="42"/>
      <c r="AH38" s="42"/>
      <c r="AI38" s="42"/>
      <c r="AJ38" s="42"/>
      <c r="AK38" s="42"/>
      <c r="AL38" s="42"/>
      <c r="AM38" s="42"/>
      <c r="AN38" s="42"/>
      <c r="AO38" s="42"/>
      <c r="AP38" s="42"/>
      <c r="AQ38" s="42"/>
      <c r="AR38" s="42"/>
      <c r="AS38" s="42"/>
      <c r="AT38" s="42"/>
      <c r="AU38" s="42"/>
      <c r="AV38" s="42"/>
      <c r="AW38" s="42"/>
      <c r="AX38" s="42"/>
      <c r="AY38" s="42"/>
      <c r="AZ38" s="43"/>
      <c r="BA38" s="25" t="str">
        <f t="shared" si="0"/>
        <v/>
      </c>
      <c r="BB38" s="17" t="str">
        <f t="shared" si="1"/>
        <v/>
      </c>
      <c r="BC38" s="17" t="str">
        <f t="shared" si="2"/>
        <v/>
      </c>
      <c r="BD38" s="17" t="str">
        <f t="shared" si="3"/>
        <v/>
      </c>
      <c r="BE38" s="26" t="str">
        <f t="shared" si="4"/>
        <v/>
      </c>
    </row>
    <row r="39" spans="1:57" ht="12" customHeight="1" x14ac:dyDescent="0.4">
      <c r="A39" s="37">
        <v>32</v>
      </c>
      <c r="B39" s="18">
        <f>'C. FILIACION'!B39</f>
        <v>0</v>
      </c>
      <c r="C39" s="42"/>
      <c r="D39" s="42"/>
      <c r="E39" s="42"/>
      <c r="F39" s="42"/>
      <c r="G39" s="42"/>
      <c r="H39" s="42"/>
      <c r="I39" s="42"/>
      <c r="J39" s="42"/>
      <c r="K39" s="42"/>
      <c r="L39" s="42"/>
      <c r="M39" s="42"/>
      <c r="N39" s="42"/>
      <c r="O39" s="42"/>
      <c r="P39" s="42"/>
      <c r="Q39" s="42"/>
      <c r="R39" s="42"/>
      <c r="S39" s="42"/>
      <c r="T39" s="42"/>
      <c r="U39" s="42"/>
      <c r="V39" s="42"/>
      <c r="W39" s="42"/>
      <c r="X39" s="42"/>
      <c r="Y39" s="42"/>
      <c r="Z39" s="42"/>
      <c r="AA39" s="42"/>
      <c r="AB39" s="42"/>
      <c r="AC39" s="42"/>
      <c r="AD39" s="42"/>
      <c r="AE39" s="42"/>
      <c r="AF39" s="42"/>
      <c r="AG39" s="42"/>
      <c r="AH39" s="42"/>
      <c r="AI39" s="42"/>
      <c r="AJ39" s="42"/>
      <c r="AK39" s="42"/>
      <c r="AL39" s="42"/>
      <c r="AM39" s="42"/>
      <c r="AN39" s="42"/>
      <c r="AO39" s="42"/>
      <c r="AP39" s="42"/>
      <c r="AQ39" s="42"/>
      <c r="AR39" s="42"/>
      <c r="AS39" s="42"/>
      <c r="AT39" s="42"/>
      <c r="AU39" s="42"/>
      <c r="AV39" s="42"/>
      <c r="AW39" s="42"/>
      <c r="AX39" s="42"/>
      <c r="AY39" s="42"/>
      <c r="AZ39" s="43"/>
      <c r="BA39" s="25" t="str">
        <f t="shared" si="0"/>
        <v/>
      </c>
      <c r="BB39" s="17" t="str">
        <f t="shared" si="1"/>
        <v/>
      </c>
      <c r="BC39" s="17" t="str">
        <f t="shared" si="2"/>
        <v/>
      </c>
      <c r="BD39" s="17" t="str">
        <f t="shared" si="3"/>
        <v/>
      </c>
      <c r="BE39" s="26" t="str">
        <f t="shared" si="4"/>
        <v/>
      </c>
    </row>
    <row r="40" spans="1:57" ht="12" customHeight="1" x14ac:dyDescent="0.4">
      <c r="A40" s="37">
        <v>33</v>
      </c>
      <c r="B40" s="18">
        <f>'C. FILIACION'!B40</f>
        <v>0</v>
      </c>
      <c r="C40" s="42"/>
      <c r="D40" s="42"/>
      <c r="E40" s="42"/>
      <c r="F40" s="42"/>
      <c r="G40" s="42"/>
      <c r="H40" s="42"/>
      <c r="I40" s="42"/>
      <c r="J40" s="42"/>
      <c r="K40" s="42"/>
      <c r="L40" s="42"/>
      <c r="M40" s="42"/>
      <c r="N40" s="42"/>
      <c r="O40" s="42"/>
      <c r="P40" s="42"/>
      <c r="Q40" s="42"/>
      <c r="R40" s="42"/>
      <c r="S40" s="42"/>
      <c r="T40" s="42"/>
      <c r="U40" s="42"/>
      <c r="V40" s="42"/>
      <c r="W40" s="42"/>
      <c r="X40" s="42"/>
      <c r="Y40" s="42"/>
      <c r="Z40" s="42"/>
      <c r="AA40" s="42"/>
      <c r="AB40" s="42"/>
      <c r="AC40" s="42"/>
      <c r="AD40" s="42"/>
      <c r="AE40" s="42"/>
      <c r="AF40" s="42"/>
      <c r="AG40" s="42"/>
      <c r="AH40" s="42"/>
      <c r="AI40" s="42"/>
      <c r="AJ40" s="42"/>
      <c r="AK40" s="42"/>
      <c r="AL40" s="42"/>
      <c r="AM40" s="42"/>
      <c r="AN40" s="42"/>
      <c r="AO40" s="42"/>
      <c r="AP40" s="42"/>
      <c r="AQ40" s="42"/>
      <c r="AR40" s="42"/>
      <c r="AS40" s="42"/>
      <c r="AT40" s="42"/>
      <c r="AU40" s="42"/>
      <c r="AV40" s="42"/>
      <c r="AW40" s="42"/>
      <c r="AX40" s="42"/>
      <c r="AY40" s="42"/>
      <c r="AZ40" s="43"/>
      <c r="BA40" s="25" t="str">
        <f t="shared" si="0"/>
        <v/>
      </c>
      <c r="BB40" s="17" t="str">
        <f t="shared" si="1"/>
        <v/>
      </c>
      <c r="BC40" s="17" t="str">
        <f t="shared" si="2"/>
        <v/>
      </c>
      <c r="BD40" s="17" t="str">
        <f t="shared" si="3"/>
        <v/>
      </c>
      <c r="BE40" s="26" t="str">
        <f t="shared" si="4"/>
        <v/>
      </c>
    </row>
    <row r="41" spans="1:57" ht="12" customHeight="1" x14ac:dyDescent="0.4">
      <c r="A41" s="37">
        <v>34</v>
      </c>
      <c r="B41" s="18">
        <f>'C. FILIACION'!B41</f>
        <v>0</v>
      </c>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42"/>
      <c r="AX41" s="42"/>
      <c r="AY41" s="42"/>
      <c r="AZ41" s="43"/>
      <c r="BA41" s="25" t="str">
        <f t="shared" si="0"/>
        <v/>
      </c>
      <c r="BB41" s="17" t="str">
        <f t="shared" si="1"/>
        <v/>
      </c>
      <c r="BC41" s="17" t="str">
        <f t="shared" si="2"/>
        <v/>
      </c>
      <c r="BD41" s="17" t="str">
        <f t="shared" si="3"/>
        <v/>
      </c>
      <c r="BE41" s="26" t="str">
        <f t="shared" si="4"/>
        <v/>
      </c>
    </row>
    <row r="42" spans="1:57" ht="12" customHeight="1" x14ac:dyDescent="0.4">
      <c r="A42" s="37">
        <v>35</v>
      </c>
      <c r="B42" s="18">
        <f>'C. FILIACION'!B42</f>
        <v>0</v>
      </c>
      <c r="C42" s="42"/>
      <c r="D42" s="42"/>
      <c r="E42" s="42"/>
      <c r="F42" s="42"/>
      <c r="G42" s="42"/>
      <c r="H42" s="42"/>
      <c r="I42" s="42"/>
      <c r="J42" s="42"/>
      <c r="K42" s="42"/>
      <c r="L42" s="42"/>
      <c r="M42" s="42"/>
      <c r="N42" s="42"/>
      <c r="O42" s="42"/>
      <c r="P42" s="42"/>
      <c r="Q42" s="42"/>
      <c r="R42" s="42"/>
      <c r="S42" s="42"/>
      <c r="T42" s="42"/>
      <c r="U42" s="42"/>
      <c r="V42" s="42"/>
      <c r="W42" s="42"/>
      <c r="X42" s="42"/>
      <c r="Y42" s="42"/>
      <c r="Z42" s="42"/>
      <c r="AA42" s="42"/>
      <c r="AB42" s="42"/>
      <c r="AC42" s="42"/>
      <c r="AD42" s="42"/>
      <c r="AE42" s="42"/>
      <c r="AF42" s="42"/>
      <c r="AG42" s="42"/>
      <c r="AH42" s="42"/>
      <c r="AI42" s="42"/>
      <c r="AJ42" s="42"/>
      <c r="AK42" s="42"/>
      <c r="AL42" s="42"/>
      <c r="AM42" s="42"/>
      <c r="AN42" s="42"/>
      <c r="AO42" s="42"/>
      <c r="AP42" s="42"/>
      <c r="AQ42" s="42"/>
      <c r="AR42" s="42"/>
      <c r="AS42" s="42"/>
      <c r="AT42" s="42"/>
      <c r="AU42" s="42"/>
      <c r="AV42" s="42"/>
      <c r="AW42" s="42"/>
      <c r="AX42" s="42"/>
      <c r="AY42" s="42"/>
      <c r="AZ42" s="43"/>
      <c r="BA42" s="25" t="str">
        <f t="shared" si="0"/>
        <v/>
      </c>
      <c r="BB42" s="17" t="str">
        <f t="shared" si="1"/>
        <v/>
      </c>
      <c r="BC42" s="17" t="str">
        <f t="shared" si="2"/>
        <v/>
      </c>
      <c r="BD42" s="17" t="str">
        <f t="shared" si="3"/>
        <v/>
      </c>
      <c r="BE42" s="26" t="str">
        <f t="shared" si="4"/>
        <v/>
      </c>
    </row>
    <row r="43" spans="1:57" ht="12" customHeight="1" x14ac:dyDescent="0.4">
      <c r="A43" s="37">
        <v>36</v>
      </c>
      <c r="B43" s="18">
        <f>'C. FILIACION'!B43</f>
        <v>0</v>
      </c>
      <c r="C43" s="44"/>
      <c r="D43" s="44"/>
      <c r="E43" s="44"/>
      <c r="F43" s="44"/>
      <c r="G43" s="44"/>
      <c r="H43" s="44"/>
      <c r="I43" s="44"/>
      <c r="J43" s="44"/>
      <c r="K43" s="44"/>
      <c r="L43" s="44"/>
      <c r="M43" s="44"/>
      <c r="N43" s="44"/>
      <c r="O43" s="44"/>
      <c r="P43" s="44"/>
      <c r="Q43" s="44"/>
      <c r="R43" s="44"/>
      <c r="S43" s="44"/>
      <c r="T43" s="44"/>
      <c r="U43" s="44"/>
      <c r="V43" s="44"/>
      <c r="W43" s="44"/>
      <c r="X43" s="44"/>
      <c r="Y43" s="44"/>
      <c r="Z43" s="44"/>
      <c r="AA43" s="44"/>
      <c r="AB43" s="44"/>
      <c r="AC43" s="44"/>
      <c r="AD43" s="44"/>
      <c r="AE43" s="44"/>
      <c r="AF43" s="44"/>
      <c r="AG43" s="44"/>
      <c r="AH43" s="44"/>
      <c r="AI43" s="44"/>
      <c r="AJ43" s="44"/>
      <c r="AK43" s="44"/>
      <c r="AL43" s="44"/>
      <c r="AM43" s="44"/>
      <c r="AN43" s="44"/>
      <c r="AO43" s="44"/>
      <c r="AP43" s="44"/>
      <c r="AQ43" s="44"/>
      <c r="AR43" s="44"/>
      <c r="AS43" s="44"/>
      <c r="AT43" s="44"/>
      <c r="AU43" s="44"/>
      <c r="AV43" s="44"/>
      <c r="AW43" s="44"/>
      <c r="AX43" s="44"/>
      <c r="AY43" s="44"/>
      <c r="AZ43" s="45"/>
      <c r="BA43" s="25" t="str">
        <f t="shared" si="0"/>
        <v/>
      </c>
      <c r="BB43" s="17" t="str">
        <f t="shared" si="1"/>
        <v/>
      </c>
      <c r="BC43" s="17" t="str">
        <f t="shared" si="2"/>
        <v/>
      </c>
      <c r="BD43" s="17" t="str">
        <f t="shared" si="3"/>
        <v/>
      </c>
      <c r="BE43" s="26" t="str">
        <f t="shared" si="4"/>
        <v/>
      </c>
    </row>
  </sheetData>
  <sheetProtection algorithmName="SHA-512" hashValue="WMvaa/gZA+k1+BxiTwUeqYVUKLkuC6mK7SZ9MgUXF86+DVPJOooYEVlVfOj5U1gzCQG4Mx4762gZo6QZzH9wEg==" saltValue="/h0KE/SnMfDFzVjfREL1xA==" spinCount="100000" sheet="1" objects="1" scenarios="1"/>
  <mergeCells count="7">
    <mergeCell ref="B2:BI2"/>
    <mergeCell ref="AT3:AZ3"/>
    <mergeCell ref="AT4:AZ4"/>
    <mergeCell ref="X5:AC5"/>
    <mergeCell ref="AT5:AZ5"/>
    <mergeCell ref="BA3:BE3"/>
    <mergeCell ref="BA4:BE5"/>
  </mergeCells>
  <pageMargins left="0" right="0" top="0" bottom="0" header="0.31496062992125984" footer="0.31496062992125984"/>
  <pageSetup orientation="landscape"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5">
    <tabColor rgb="FFC00000"/>
  </sheetPr>
  <dimension ref="A1:BI43"/>
  <sheetViews>
    <sheetView zoomScale="120" zoomScaleNormal="120" workbookViewId="0">
      <selection activeCell="AZ8" sqref="AZ8"/>
    </sheetView>
  </sheetViews>
  <sheetFormatPr baseColWidth="10" defaultColWidth="8.7109375" defaultRowHeight="12.9" customHeight="1" x14ac:dyDescent="0.4"/>
  <cols>
    <col min="1" max="1" width="1.640625" customWidth="1"/>
    <col min="2" max="2" width="20.640625" customWidth="1"/>
    <col min="3" max="52" width="1.28515625" customWidth="1"/>
    <col min="53" max="57" width="1.42578125" customWidth="1"/>
    <col min="58" max="62" width="1.640625" customWidth="1"/>
  </cols>
  <sheetData>
    <row r="1" spans="1:61" ht="5.0999999999999996" customHeight="1" x14ac:dyDescent="0.4"/>
    <row r="2" spans="1:61" ht="12.9" customHeight="1" x14ac:dyDescent="0.4">
      <c r="B2" s="198" t="s">
        <v>39</v>
      </c>
      <c r="C2" s="198"/>
      <c r="D2" s="198"/>
      <c r="E2" s="198"/>
      <c r="F2" s="198"/>
      <c r="G2" s="198"/>
      <c r="H2" s="198"/>
      <c r="I2" s="198"/>
      <c r="J2" s="198"/>
      <c r="K2" s="198"/>
      <c r="L2" s="198"/>
      <c r="M2" s="198"/>
      <c r="N2" s="198"/>
      <c r="O2" s="198"/>
      <c r="P2" s="198"/>
      <c r="Q2" s="198"/>
      <c r="R2" s="198"/>
      <c r="S2" s="198"/>
      <c r="T2" s="198"/>
      <c r="U2" s="198"/>
      <c r="V2" s="198"/>
      <c r="W2" s="198"/>
      <c r="X2" s="198"/>
      <c r="Y2" s="198"/>
      <c r="Z2" s="198"/>
      <c r="AA2" s="198"/>
      <c r="AB2" s="198"/>
      <c r="AC2" s="198"/>
      <c r="AD2" s="198"/>
      <c r="AE2" s="198"/>
      <c r="AF2" s="198"/>
      <c r="AG2" s="198"/>
      <c r="AH2" s="198"/>
      <c r="AI2" s="198"/>
      <c r="AJ2" s="198"/>
      <c r="AK2" s="198"/>
      <c r="AL2" s="198"/>
      <c r="AM2" s="198"/>
      <c r="AN2" s="198"/>
      <c r="AO2" s="198"/>
      <c r="AP2" s="198"/>
      <c r="AQ2" s="198"/>
      <c r="AR2" s="198"/>
      <c r="AS2" s="198"/>
      <c r="AT2" s="198"/>
      <c r="AU2" s="198"/>
      <c r="AV2" s="198"/>
      <c r="AW2" s="198"/>
      <c r="AX2" s="198"/>
      <c r="AY2" s="198"/>
      <c r="AZ2" s="198"/>
      <c r="BA2" s="198"/>
      <c r="BB2" s="198"/>
      <c r="BC2" s="198"/>
      <c r="BD2" s="198"/>
      <c r="BE2" s="198"/>
      <c r="BF2" s="198"/>
      <c r="BG2" s="198"/>
      <c r="BH2" s="198"/>
      <c r="BI2" s="198"/>
    </row>
    <row r="3" spans="1:61" ht="12.9" customHeight="1" thickBot="1" x14ac:dyDescent="0.45">
      <c r="B3" s="14" t="s">
        <v>3</v>
      </c>
      <c r="C3" s="30">
        <f>CARÁTULA!$C$15</f>
        <v>0</v>
      </c>
      <c r="D3" s="29"/>
      <c r="E3" s="29"/>
      <c r="F3" s="29"/>
      <c r="G3" s="29"/>
      <c r="H3" s="29"/>
      <c r="I3" s="29"/>
      <c r="J3" s="29"/>
      <c r="K3" s="29"/>
      <c r="L3" s="29"/>
      <c r="M3" s="29"/>
      <c r="N3" s="29"/>
      <c r="O3" s="31"/>
      <c r="P3" s="31"/>
      <c r="Q3" s="19"/>
      <c r="R3" s="19"/>
      <c r="S3" s="19" t="s">
        <v>8</v>
      </c>
      <c r="T3" s="20"/>
      <c r="U3" s="20"/>
      <c r="V3" s="20"/>
      <c r="W3" s="20"/>
      <c r="X3" s="28">
        <f>CARÁTULA!$C$25</f>
        <v>0</v>
      </c>
      <c r="Y3" s="28"/>
      <c r="Z3" s="28"/>
      <c r="AA3" s="28"/>
      <c r="AB3" s="28"/>
      <c r="AC3" s="28"/>
      <c r="AD3" s="28"/>
      <c r="AE3" s="28"/>
      <c r="AF3" s="28"/>
      <c r="AG3" s="28"/>
      <c r="AH3" s="28"/>
      <c r="AI3" s="29"/>
      <c r="AJ3" s="1"/>
      <c r="AK3" s="20" t="s">
        <v>34</v>
      </c>
      <c r="AL3" s="1"/>
      <c r="AM3" s="1"/>
      <c r="AN3" s="1"/>
      <c r="AO3" s="1"/>
      <c r="AP3" s="1"/>
      <c r="AQ3" s="1"/>
      <c r="AR3" s="1"/>
      <c r="AS3" s="1"/>
      <c r="AT3" s="209">
        <f>CARÁTULA!$H$24</f>
        <v>44805</v>
      </c>
      <c r="AU3" s="210"/>
      <c r="AV3" s="210"/>
      <c r="AW3" s="210"/>
      <c r="AX3" s="210"/>
      <c r="AY3" s="210"/>
      <c r="AZ3" s="210"/>
      <c r="BA3" s="223"/>
      <c r="BB3" s="223"/>
      <c r="BC3" s="223"/>
      <c r="BD3" s="223"/>
      <c r="BE3" s="223"/>
    </row>
    <row r="4" spans="1:61" ht="12.9" customHeight="1" x14ac:dyDescent="0.4">
      <c r="B4" s="14" t="s">
        <v>6</v>
      </c>
      <c r="C4" s="30">
        <f>CARÁTULA!$C$21</f>
        <v>0</v>
      </c>
      <c r="D4" s="29"/>
      <c r="E4" s="29"/>
      <c r="F4" s="29"/>
      <c r="G4" s="29"/>
      <c r="H4" s="29"/>
      <c r="I4" s="29"/>
      <c r="J4" s="29"/>
      <c r="K4" s="29"/>
      <c r="L4" s="29"/>
      <c r="M4" s="29"/>
      <c r="N4" s="29"/>
      <c r="O4" s="31"/>
      <c r="P4" s="31"/>
      <c r="Q4" s="19"/>
      <c r="R4" s="19"/>
      <c r="S4" s="19" t="s">
        <v>26</v>
      </c>
      <c r="T4" s="20"/>
      <c r="U4" s="1"/>
      <c r="V4" s="1"/>
      <c r="W4" s="1"/>
      <c r="X4" s="30">
        <f>CARÁTULA!$C$19</f>
        <v>0</v>
      </c>
      <c r="Y4" s="29"/>
      <c r="Z4" s="29"/>
      <c r="AA4" s="29"/>
      <c r="AB4" s="29"/>
      <c r="AC4" s="29"/>
      <c r="AD4" s="29"/>
      <c r="AE4" s="29"/>
      <c r="AF4" s="29"/>
      <c r="AG4" s="29"/>
      <c r="AH4" s="29"/>
      <c r="AI4" s="29"/>
      <c r="AJ4" s="1"/>
      <c r="AK4" s="20" t="s">
        <v>35</v>
      </c>
      <c r="AL4" s="1"/>
      <c r="AM4" s="1"/>
      <c r="AN4" s="1"/>
      <c r="AO4" s="1"/>
      <c r="AP4" s="1"/>
      <c r="AQ4" s="1"/>
      <c r="AR4" s="1"/>
      <c r="AS4" s="1"/>
      <c r="AT4" s="209">
        <f>CARÁTULA!$J$24</f>
        <v>44896</v>
      </c>
      <c r="AU4" s="210"/>
      <c r="AV4" s="210"/>
      <c r="AW4" s="210"/>
      <c r="AX4" s="210"/>
      <c r="AY4" s="210"/>
      <c r="AZ4" s="210"/>
      <c r="BA4" s="224">
        <f ca="1">AT4-AT5</f>
        <v>300</v>
      </c>
      <c r="BB4" s="225"/>
      <c r="BC4" s="225"/>
      <c r="BD4" s="225"/>
      <c r="BE4" s="226"/>
    </row>
    <row r="5" spans="1:61" ht="12.9" customHeight="1" thickBot="1" x14ac:dyDescent="0.45">
      <c r="B5" s="14" t="s">
        <v>17</v>
      </c>
      <c r="C5" s="30">
        <f>CARÁTULA!$C$23</f>
        <v>0</v>
      </c>
      <c r="D5" s="29"/>
      <c r="E5" s="29"/>
      <c r="F5" s="29"/>
      <c r="G5" s="29"/>
      <c r="H5" s="29"/>
      <c r="I5" s="29"/>
      <c r="J5" s="29"/>
      <c r="K5" s="29"/>
      <c r="L5" s="29"/>
      <c r="M5" s="29"/>
      <c r="N5" s="29"/>
      <c r="O5" s="34"/>
      <c r="P5" s="34"/>
      <c r="Q5" s="14"/>
      <c r="R5" s="14"/>
      <c r="S5" s="27" t="s">
        <v>19</v>
      </c>
      <c r="T5" s="21"/>
      <c r="U5" s="21"/>
      <c r="V5" s="21"/>
      <c r="W5" s="21"/>
      <c r="X5" s="213">
        <f ca="1">TODAY()</f>
        <v>44596</v>
      </c>
      <c r="Y5" s="213"/>
      <c r="Z5" s="213"/>
      <c r="AA5" s="213"/>
      <c r="AB5" s="213"/>
      <c r="AC5" s="213"/>
      <c r="AD5" s="29"/>
      <c r="AE5" s="29"/>
      <c r="AF5" s="29"/>
      <c r="AG5" s="29"/>
      <c r="AH5" s="29"/>
      <c r="AI5" s="29"/>
      <c r="AJ5" s="1"/>
      <c r="AK5" s="35" t="s">
        <v>36</v>
      </c>
      <c r="AL5" s="36"/>
      <c r="AM5" s="36"/>
      <c r="AN5" s="36"/>
      <c r="AO5" s="36"/>
      <c r="AP5" s="36"/>
      <c r="AQ5" s="36"/>
      <c r="AR5" s="1"/>
      <c r="AS5" s="1"/>
      <c r="AT5" s="211">
        <f ca="1">TODAY()</f>
        <v>44596</v>
      </c>
      <c r="AU5" s="212"/>
      <c r="AV5" s="212"/>
      <c r="AW5" s="212"/>
      <c r="AX5" s="212"/>
      <c r="AY5" s="212"/>
      <c r="AZ5" s="212"/>
      <c r="BA5" s="227"/>
      <c r="BB5" s="228"/>
      <c r="BC5" s="228"/>
      <c r="BD5" s="228"/>
      <c r="BE5" s="229"/>
    </row>
    <row r="6" spans="1:61" ht="3" customHeight="1" thickBot="1" x14ac:dyDescent="0.45">
      <c r="B6" s="12"/>
      <c r="C6" s="1"/>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1"/>
      <c r="AR6" s="1"/>
      <c r="AS6" s="1"/>
      <c r="AT6" s="1"/>
      <c r="AU6" s="1"/>
      <c r="AV6" s="1"/>
      <c r="AW6" s="1"/>
      <c r="AX6" s="1"/>
      <c r="AY6" s="1"/>
      <c r="AZ6" s="1"/>
      <c r="BA6" s="47"/>
      <c r="BB6" s="1"/>
      <c r="BC6" s="1"/>
      <c r="BD6" s="1"/>
    </row>
    <row r="7" spans="1:61" ht="68.099999999999994" customHeight="1" x14ac:dyDescent="0.4">
      <c r="A7" s="16" t="s">
        <v>27</v>
      </c>
      <c r="B7" s="38" t="s">
        <v>28</v>
      </c>
      <c r="C7" s="39"/>
      <c r="D7" s="39"/>
      <c r="E7" s="40"/>
      <c r="F7" s="40"/>
      <c r="G7" s="40"/>
      <c r="H7" s="40"/>
      <c r="I7" s="40"/>
      <c r="J7" s="40"/>
      <c r="K7" s="40"/>
      <c r="L7" s="40"/>
      <c r="M7" s="40"/>
      <c r="N7" s="40"/>
      <c r="O7" s="40"/>
      <c r="P7" s="40"/>
      <c r="Q7" s="40"/>
      <c r="R7" s="40"/>
      <c r="S7" s="40"/>
      <c r="T7" s="40"/>
      <c r="U7" s="40"/>
      <c r="V7" s="40"/>
      <c r="W7" s="40"/>
      <c r="X7" s="40"/>
      <c r="Y7" s="40"/>
      <c r="Z7" s="40"/>
      <c r="AA7" s="40"/>
      <c r="AB7" s="40"/>
      <c r="AC7" s="40"/>
      <c r="AD7" s="40"/>
      <c r="AE7" s="40"/>
      <c r="AF7" s="40"/>
      <c r="AG7" s="40"/>
      <c r="AH7" s="40"/>
      <c r="AI7" s="40"/>
      <c r="AJ7" s="40"/>
      <c r="AK7" s="40"/>
      <c r="AL7" s="40"/>
      <c r="AM7" s="40"/>
      <c r="AN7" s="40"/>
      <c r="AO7" s="40"/>
      <c r="AP7" s="40"/>
      <c r="AQ7" s="40"/>
      <c r="AR7" s="40"/>
      <c r="AS7" s="40"/>
      <c r="AT7" s="40"/>
      <c r="AU7" s="40"/>
      <c r="AV7" s="40"/>
      <c r="AW7" s="40"/>
      <c r="AX7" s="40"/>
      <c r="AY7" s="40"/>
      <c r="AZ7" s="41"/>
      <c r="BA7" s="22" t="s">
        <v>29</v>
      </c>
      <c r="BB7" s="23" t="s">
        <v>30</v>
      </c>
      <c r="BC7" s="23" t="s">
        <v>32</v>
      </c>
      <c r="BD7" s="23" t="s">
        <v>31</v>
      </c>
      <c r="BE7" s="24" t="s">
        <v>33</v>
      </c>
    </row>
    <row r="8" spans="1:61" ht="12" customHeight="1" x14ac:dyDescent="0.4">
      <c r="A8" s="37">
        <v>1</v>
      </c>
      <c r="B8" s="18">
        <f>'C. FILIACION'!B8</f>
        <v>0</v>
      </c>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42"/>
      <c r="AX8" s="42"/>
      <c r="AY8" s="42"/>
      <c r="AZ8" s="43"/>
      <c r="BA8" s="25" t="str">
        <f t="shared" ref="BA8:BA43" si="0">IF(COUNTIF(C8:AZ8,"A")=0,"",COUNTIF(C8:AZ8,"A"))</f>
        <v/>
      </c>
      <c r="BB8" s="17" t="str">
        <f t="shared" ref="BB8:BB43" si="1">IF(COUNTIF(C8:AZ8,"F")=0,"",COUNTIF(C8:AZ8,"F"))</f>
        <v/>
      </c>
      <c r="BC8" s="17" t="str">
        <f t="shared" ref="BC8:BC43" si="2">IF(COUNTIF(C8:AZ8,"R")=0,"",COUNTIF(C8:AZ8,"R"))</f>
        <v/>
      </c>
      <c r="BD8" s="17" t="str">
        <f t="shared" ref="BD8:BD43" si="3">IF(COUNTIF(C8:AZ8,"L")=0,"",COUNTIF(C8:AZ8,"L"))</f>
        <v/>
      </c>
      <c r="BE8" s="26" t="str">
        <f t="shared" ref="BE8:BE43" si="4">IF(COUNTIF(C8:AZ8,"L")=0,"",COUNTIF(C8:AZ8,"L"))</f>
        <v/>
      </c>
    </row>
    <row r="9" spans="1:61" ht="12" customHeight="1" x14ac:dyDescent="0.4">
      <c r="A9" s="37">
        <v>2</v>
      </c>
      <c r="B9" s="18">
        <f>'C. FILIACION'!B9</f>
        <v>0</v>
      </c>
      <c r="C9" s="42"/>
      <c r="D9" s="42"/>
      <c r="E9" s="42"/>
      <c r="F9" s="42"/>
      <c r="G9" s="42"/>
      <c r="H9" s="42"/>
      <c r="I9" s="42"/>
      <c r="J9" s="42"/>
      <c r="K9" s="42"/>
      <c r="L9" s="42"/>
      <c r="M9" s="42"/>
      <c r="N9" s="42"/>
      <c r="O9" s="42"/>
      <c r="P9" s="42"/>
      <c r="Q9" s="42"/>
      <c r="R9" s="42"/>
      <c r="S9" s="42"/>
      <c r="T9" s="42"/>
      <c r="U9" s="42"/>
      <c r="V9" s="42"/>
      <c r="W9" s="42"/>
      <c r="X9" s="42"/>
      <c r="Y9" s="42"/>
      <c r="Z9" s="42"/>
      <c r="AA9" s="42"/>
      <c r="AB9" s="42"/>
      <c r="AC9" s="42"/>
      <c r="AD9" s="42"/>
      <c r="AE9" s="42"/>
      <c r="AF9" s="42"/>
      <c r="AG9" s="42"/>
      <c r="AH9" s="42"/>
      <c r="AI9" s="42"/>
      <c r="AJ9" s="42"/>
      <c r="AK9" s="42"/>
      <c r="AL9" s="42"/>
      <c r="AM9" s="42"/>
      <c r="AN9" s="42"/>
      <c r="AO9" s="42"/>
      <c r="AP9" s="42"/>
      <c r="AQ9" s="42"/>
      <c r="AR9" s="42"/>
      <c r="AS9" s="42"/>
      <c r="AT9" s="42"/>
      <c r="AU9" s="42"/>
      <c r="AV9" s="42"/>
      <c r="AW9" s="42"/>
      <c r="AX9" s="42"/>
      <c r="AY9" s="42"/>
      <c r="AZ9" s="43"/>
      <c r="BA9" s="25" t="str">
        <f t="shared" si="0"/>
        <v/>
      </c>
      <c r="BB9" s="17" t="str">
        <f t="shared" si="1"/>
        <v/>
      </c>
      <c r="BC9" s="17" t="str">
        <f t="shared" si="2"/>
        <v/>
      </c>
      <c r="BD9" s="17" t="str">
        <f t="shared" si="3"/>
        <v/>
      </c>
      <c r="BE9" s="26" t="str">
        <f t="shared" si="4"/>
        <v/>
      </c>
    </row>
    <row r="10" spans="1:61" ht="12" customHeight="1" x14ac:dyDescent="0.4">
      <c r="A10" s="37">
        <v>3</v>
      </c>
      <c r="B10" s="18">
        <f>'C. FILIACION'!B10</f>
        <v>0</v>
      </c>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2"/>
      <c r="AK10" s="42"/>
      <c r="AL10" s="42"/>
      <c r="AM10" s="42"/>
      <c r="AN10" s="42"/>
      <c r="AO10" s="42"/>
      <c r="AP10" s="42"/>
      <c r="AQ10" s="42"/>
      <c r="AR10" s="42"/>
      <c r="AS10" s="42"/>
      <c r="AT10" s="42"/>
      <c r="AU10" s="42"/>
      <c r="AV10" s="42"/>
      <c r="AW10" s="42"/>
      <c r="AX10" s="42"/>
      <c r="AY10" s="42"/>
      <c r="AZ10" s="43"/>
      <c r="BA10" s="25" t="str">
        <f t="shared" si="0"/>
        <v/>
      </c>
      <c r="BB10" s="17" t="str">
        <f t="shared" si="1"/>
        <v/>
      </c>
      <c r="BC10" s="17" t="str">
        <f t="shared" si="2"/>
        <v/>
      </c>
      <c r="BD10" s="17" t="str">
        <f t="shared" si="3"/>
        <v/>
      </c>
      <c r="BE10" s="26" t="str">
        <f t="shared" si="4"/>
        <v/>
      </c>
    </row>
    <row r="11" spans="1:61" ht="12" customHeight="1" x14ac:dyDescent="0.4">
      <c r="A11" s="37">
        <v>4</v>
      </c>
      <c r="B11" s="18">
        <f>'C. FILIACION'!B11</f>
        <v>0</v>
      </c>
      <c r="C11" s="42"/>
      <c r="D11" s="42"/>
      <c r="E11" s="42"/>
      <c r="F11" s="42"/>
      <c r="G11" s="42"/>
      <c r="H11" s="42"/>
      <c r="I11" s="42"/>
      <c r="J11" s="42"/>
      <c r="K11" s="42"/>
      <c r="L11" s="42"/>
      <c r="M11" s="42"/>
      <c r="N11" s="42"/>
      <c r="O11" s="42"/>
      <c r="P11" s="42"/>
      <c r="Q11" s="42"/>
      <c r="R11" s="42"/>
      <c r="S11" s="42"/>
      <c r="T11" s="42"/>
      <c r="U11" s="42"/>
      <c r="V11" s="42"/>
      <c r="W11" s="42"/>
      <c r="X11" s="42"/>
      <c r="Y11" s="42"/>
      <c r="Z11" s="42"/>
      <c r="AA11" s="42"/>
      <c r="AB11" s="42"/>
      <c r="AC11" s="42"/>
      <c r="AD11" s="42"/>
      <c r="AE11" s="42"/>
      <c r="AF11" s="42"/>
      <c r="AG11" s="42"/>
      <c r="AH11" s="42"/>
      <c r="AI11" s="42"/>
      <c r="AJ11" s="42"/>
      <c r="AK11" s="42"/>
      <c r="AL11" s="42"/>
      <c r="AM11" s="42"/>
      <c r="AN11" s="42"/>
      <c r="AO11" s="42"/>
      <c r="AP11" s="42"/>
      <c r="AQ11" s="42"/>
      <c r="AR11" s="42"/>
      <c r="AS11" s="42"/>
      <c r="AT11" s="42"/>
      <c r="AU11" s="42"/>
      <c r="AV11" s="42"/>
      <c r="AW11" s="42"/>
      <c r="AX11" s="42"/>
      <c r="AY11" s="42"/>
      <c r="AZ11" s="43"/>
      <c r="BA11" s="25" t="str">
        <f t="shared" si="0"/>
        <v/>
      </c>
      <c r="BB11" s="17" t="str">
        <f t="shared" si="1"/>
        <v/>
      </c>
      <c r="BC11" s="17" t="str">
        <f t="shared" si="2"/>
        <v/>
      </c>
      <c r="BD11" s="17" t="str">
        <f t="shared" si="3"/>
        <v/>
      </c>
      <c r="BE11" s="26" t="str">
        <f t="shared" si="4"/>
        <v/>
      </c>
    </row>
    <row r="12" spans="1:61" ht="12" customHeight="1" x14ac:dyDescent="0.4">
      <c r="A12" s="37">
        <v>5</v>
      </c>
      <c r="B12" s="18">
        <f>'C. FILIACION'!B12</f>
        <v>0</v>
      </c>
      <c r="C12" s="42"/>
      <c r="D12" s="42"/>
      <c r="E12" s="42"/>
      <c r="F12" s="42"/>
      <c r="G12" s="42"/>
      <c r="H12" s="42"/>
      <c r="I12" s="42"/>
      <c r="J12" s="42"/>
      <c r="K12" s="42"/>
      <c r="L12" s="42"/>
      <c r="M12" s="42"/>
      <c r="N12" s="42"/>
      <c r="O12" s="42"/>
      <c r="P12" s="42"/>
      <c r="Q12" s="42"/>
      <c r="R12" s="42"/>
      <c r="S12" s="42"/>
      <c r="T12" s="42"/>
      <c r="U12" s="42"/>
      <c r="V12" s="42"/>
      <c r="W12" s="42"/>
      <c r="X12" s="42"/>
      <c r="Y12" s="42"/>
      <c r="Z12" s="42"/>
      <c r="AA12" s="42"/>
      <c r="AB12" s="42"/>
      <c r="AC12" s="42"/>
      <c r="AD12" s="42"/>
      <c r="AE12" s="42"/>
      <c r="AF12" s="42"/>
      <c r="AG12" s="42"/>
      <c r="AH12" s="42"/>
      <c r="AI12" s="42"/>
      <c r="AJ12" s="42"/>
      <c r="AK12" s="42"/>
      <c r="AL12" s="42"/>
      <c r="AM12" s="42"/>
      <c r="AN12" s="42"/>
      <c r="AO12" s="42"/>
      <c r="AP12" s="42"/>
      <c r="AQ12" s="42"/>
      <c r="AR12" s="42"/>
      <c r="AS12" s="42"/>
      <c r="AT12" s="42"/>
      <c r="AU12" s="42"/>
      <c r="AV12" s="42"/>
      <c r="AW12" s="42"/>
      <c r="AX12" s="42"/>
      <c r="AY12" s="42"/>
      <c r="AZ12" s="43"/>
      <c r="BA12" s="25" t="str">
        <f t="shared" si="0"/>
        <v/>
      </c>
      <c r="BB12" s="17" t="str">
        <f t="shared" si="1"/>
        <v/>
      </c>
      <c r="BC12" s="17" t="str">
        <f t="shared" si="2"/>
        <v/>
      </c>
      <c r="BD12" s="17" t="str">
        <f t="shared" si="3"/>
        <v/>
      </c>
      <c r="BE12" s="26" t="str">
        <f t="shared" si="4"/>
        <v/>
      </c>
    </row>
    <row r="13" spans="1:61" ht="12" customHeight="1" x14ac:dyDescent="0.4">
      <c r="A13" s="37">
        <v>6</v>
      </c>
      <c r="B13" s="18">
        <f>'C. FILIACION'!B13</f>
        <v>0</v>
      </c>
      <c r="C13" s="42"/>
      <c r="D13" s="42"/>
      <c r="E13" s="42"/>
      <c r="F13" s="42"/>
      <c r="G13" s="42"/>
      <c r="H13" s="42"/>
      <c r="I13" s="42"/>
      <c r="J13" s="42"/>
      <c r="K13" s="42"/>
      <c r="L13" s="42"/>
      <c r="M13" s="42"/>
      <c r="N13" s="42"/>
      <c r="O13" s="42"/>
      <c r="P13" s="42"/>
      <c r="Q13" s="42"/>
      <c r="R13" s="42"/>
      <c r="S13" s="42"/>
      <c r="T13" s="42"/>
      <c r="U13" s="42"/>
      <c r="V13" s="42"/>
      <c r="W13" s="42"/>
      <c r="X13" s="42"/>
      <c r="Y13" s="42"/>
      <c r="Z13" s="42"/>
      <c r="AA13" s="42"/>
      <c r="AB13" s="42"/>
      <c r="AC13" s="42"/>
      <c r="AD13" s="42"/>
      <c r="AE13" s="42"/>
      <c r="AF13" s="42"/>
      <c r="AG13" s="42"/>
      <c r="AH13" s="42"/>
      <c r="AI13" s="42"/>
      <c r="AJ13" s="42"/>
      <c r="AK13" s="42"/>
      <c r="AL13" s="42"/>
      <c r="AM13" s="42"/>
      <c r="AN13" s="42"/>
      <c r="AO13" s="42"/>
      <c r="AP13" s="42"/>
      <c r="AQ13" s="42"/>
      <c r="AR13" s="42"/>
      <c r="AS13" s="42"/>
      <c r="AT13" s="42"/>
      <c r="AU13" s="42"/>
      <c r="AV13" s="42"/>
      <c r="AW13" s="42"/>
      <c r="AX13" s="42"/>
      <c r="AY13" s="42"/>
      <c r="AZ13" s="43"/>
      <c r="BA13" s="25" t="str">
        <f t="shared" si="0"/>
        <v/>
      </c>
      <c r="BB13" s="17" t="str">
        <f t="shared" si="1"/>
        <v/>
      </c>
      <c r="BC13" s="17" t="str">
        <f t="shared" si="2"/>
        <v/>
      </c>
      <c r="BD13" s="17" t="str">
        <f t="shared" si="3"/>
        <v/>
      </c>
      <c r="BE13" s="26" t="str">
        <f t="shared" si="4"/>
        <v/>
      </c>
    </row>
    <row r="14" spans="1:61" ht="12" customHeight="1" x14ac:dyDescent="0.4">
      <c r="A14" s="37">
        <v>7</v>
      </c>
      <c r="B14" s="18">
        <f>'C. FILIACION'!B14</f>
        <v>0</v>
      </c>
      <c r="C14" s="42"/>
      <c r="D14" s="42"/>
      <c r="E14" s="42"/>
      <c r="F14" s="42"/>
      <c r="G14" s="42"/>
      <c r="H14" s="42"/>
      <c r="I14" s="42"/>
      <c r="J14" s="42"/>
      <c r="K14" s="42"/>
      <c r="L14" s="42"/>
      <c r="M14" s="42"/>
      <c r="N14" s="42"/>
      <c r="O14" s="42"/>
      <c r="P14" s="42"/>
      <c r="Q14" s="42"/>
      <c r="R14" s="42"/>
      <c r="S14" s="42"/>
      <c r="T14" s="42"/>
      <c r="U14" s="42"/>
      <c r="V14" s="42"/>
      <c r="W14" s="42"/>
      <c r="X14" s="42"/>
      <c r="Y14" s="42"/>
      <c r="Z14" s="42"/>
      <c r="AA14" s="42"/>
      <c r="AB14" s="42"/>
      <c r="AC14" s="42"/>
      <c r="AD14" s="42"/>
      <c r="AE14" s="42"/>
      <c r="AF14" s="42"/>
      <c r="AG14" s="42"/>
      <c r="AH14" s="42"/>
      <c r="AI14" s="42"/>
      <c r="AJ14" s="42"/>
      <c r="AK14" s="42"/>
      <c r="AL14" s="42"/>
      <c r="AM14" s="42"/>
      <c r="AN14" s="42"/>
      <c r="AO14" s="42"/>
      <c r="AP14" s="42"/>
      <c r="AQ14" s="42"/>
      <c r="AR14" s="42"/>
      <c r="AS14" s="42"/>
      <c r="AT14" s="42"/>
      <c r="AU14" s="42"/>
      <c r="AV14" s="42"/>
      <c r="AW14" s="42"/>
      <c r="AX14" s="42"/>
      <c r="AY14" s="42"/>
      <c r="AZ14" s="43"/>
      <c r="BA14" s="25" t="str">
        <f t="shared" si="0"/>
        <v/>
      </c>
      <c r="BB14" s="17" t="str">
        <f t="shared" si="1"/>
        <v/>
      </c>
      <c r="BC14" s="17" t="str">
        <f t="shared" si="2"/>
        <v/>
      </c>
      <c r="BD14" s="17" t="str">
        <f t="shared" si="3"/>
        <v/>
      </c>
      <c r="BE14" s="26" t="str">
        <f t="shared" si="4"/>
        <v/>
      </c>
    </row>
    <row r="15" spans="1:61" ht="12" customHeight="1" x14ac:dyDescent="0.4">
      <c r="A15" s="37">
        <v>8</v>
      </c>
      <c r="B15" s="18">
        <f>'C. FILIACION'!B15</f>
        <v>0</v>
      </c>
      <c r="C15" s="42"/>
      <c r="D15" s="42"/>
      <c r="E15" s="42"/>
      <c r="F15" s="42"/>
      <c r="G15" s="42"/>
      <c r="H15" s="42"/>
      <c r="I15" s="42"/>
      <c r="J15" s="42"/>
      <c r="K15" s="42"/>
      <c r="L15" s="42"/>
      <c r="M15" s="42"/>
      <c r="N15" s="42"/>
      <c r="O15" s="42"/>
      <c r="P15" s="42"/>
      <c r="Q15" s="42"/>
      <c r="R15" s="42"/>
      <c r="S15" s="42"/>
      <c r="T15" s="42"/>
      <c r="U15" s="42"/>
      <c r="V15" s="42"/>
      <c r="W15" s="42"/>
      <c r="X15" s="42"/>
      <c r="Y15" s="42"/>
      <c r="Z15" s="42"/>
      <c r="AA15" s="42"/>
      <c r="AB15" s="42"/>
      <c r="AC15" s="42"/>
      <c r="AD15" s="42"/>
      <c r="AE15" s="42"/>
      <c r="AF15" s="42"/>
      <c r="AG15" s="42"/>
      <c r="AH15" s="42"/>
      <c r="AI15" s="42"/>
      <c r="AJ15" s="42"/>
      <c r="AK15" s="42"/>
      <c r="AL15" s="42"/>
      <c r="AM15" s="42"/>
      <c r="AN15" s="42"/>
      <c r="AO15" s="42"/>
      <c r="AP15" s="42"/>
      <c r="AQ15" s="42"/>
      <c r="AR15" s="42"/>
      <c r="AS15" s="42"/>
      <c r="AT15" s="42"/>
      <c r="AU15" s="42"/>
      <c r="AV15" s="42"/>
      <c r="AW15" s="42"/>
      <c r="AX15" s="42"/>
      <c r="AY15" s="42"/>
      <c r="AZ15" s="43"/>
      <c r="BA15" s="25" t="str">
        <f t="shared" si="0"/>
        <v/>
      </c>
      <c r="BB15" s="17" t="str">
        <f t="shared" si="1"/>
        <v/>
      </c>
      <c r="BC15" s="17" t="str">
        <f t="shared" si="2"/>
        <v/>
      </c>
      <c r="BD15" s="17" t="str">
        <f t="shared" si="3"/>
        <v/>
      </c>
      <c r="BE15" s="26" t="str">
        <f t="shared" si="4"/>
        <v/>
      </c>
    </row>
    <row r="16" spans="1:61" ht="12" customHeight="1" x14ac:dyDescent="0.4">
      <c r="A16" s="37">
        <v>9</v>
      </c>
      <c r="B16" s="18">
        <f>'C. FILIACION'!B16</f>
        <v>0</v>
      </c>
      <c r="C16" s="42"/>
      <c r="D16" s="42"/>
      <c r="E16" s="42"/>
      <c r="F16" s="42"/>
      <c r="G16" s="42"/>
      <c r="H16" s="42"/>
      <c r="I16" s="42"/>
      <c r="J16" s="42"/>
      <c r="K16" s="42"/>
      <c r="L16" s="42"/>
      <c r="M16" s="42"/>
      <c r="N16" s="42"/>
      <c r="O16" s="42"/>
      <c r="P16" s="42"/>
      <c r="Q16" s="42"/>
      <c r="R16" s="42"/>
      <c r="S16" s="42"/>
      <c r="T16" s="42"/>
      <c r="U16" s="42"/>
      <c r="V16" s="42"/>
      <c r="W16" s="42"/>
      <c r="X16" s="42"/>
      <c r="Y16" s="42"/>
      <c r="Z16" s="42"/>
      <c r="AA16" s="42"/>
      <c r="AB16" s="42"/>
      <c r="AC16" s="42"/>
      <c r="AD16" s="42"/>
      <c r="AE16" s="42"/>
      <c r="AF16" s="42"/>
      <c r="AG16" s="42"/>
      <c r="AH16" s="42"/>
      <c r="AI16" s="42"/>
      <c r="AJ16" s="42"/>
      <c r="AK16" s="42"/>
      <c r="AL16" s="42"/>
      <c r="AM16" s="42"/>
      <c r="AN16" s="42"/>
      <c r="AO16" s="42"/>
      <c r="AP16" s="42"/>
      <c r="AQ16" s="42"/>
      <c r="AR16" s="42"/>
      <c r="AS16" s="42"/>
      <c r="AT16" s="42"/>
      <c r="AU16" s="42"/>
      <c r="AV16" s="42"/>
      <c r="AW16" s="42"/>
      <c r="AX16" s="42"/>
      <c r="AY16" s="42"/>
      <c r="AZ16" s="43"/>
      <c r="BA16" s="25" t="str">
        <f t="shared" si="0"/>
        <v/>
      </c>
      <c r="BB16" s="17" t="str">
        <f t="shared" si="1"/>
        <v/>
      </c>
      <c r="BC16" s="17" t="str">
        <f t="shared" si="2"/>
        <v/>
      </c>
      <c r="BD16" s="17" t="str">
        <f t="shared" si="3"/>
        <v/>
      </c>
      <c r="BE16" s="26" t="str">
        <f t="shared" si="4"/>
        <v/>
      </c>
    </row>
    <row r="17" spans="1:57" ht="12" customHeight="1" x14ac:dyDescent="0.4">
      <c r="A17" s="37">
        <v>10</v>
      </c>
      <c r="B17" s="18">
        <f>'C. FILIACION'!B17</f>
        <v>0</v>
      </c>
      <c r="C17" s="42"/>
      <c r="D17" s="42"/>
      <c r="E17" s="42"/>
      <c r="F17" s="42"/>
      <c r="G17" s="42"/>
      <c r="H17" s="42"/>
      <c r="I17" s="42"/>
      <c r="J17" s="42"/>
      <c r="K17" s="42"/>
      <c r="L17" s="42"/>
      <c r="M17" s="42"/>
      <c r="N17" s="42"/>
      <c r="O17" s="42"/>
      <c r="P17" s="42"/>
      <c r="Q17" s="42"/>
      <c r="R17" s="42"/>
      <c r="S17" s="42"/>
      <c r="T17" s="42"/>
      <c r="U17" s="42"/>
      <c r="V17" s="42"/>
      <c r="W17" s="42"/>
      <c r="X17" s="42"/>
      <c r="Y17" s="42"/>
      <c r="Z17" s="42"/>
      <c r="AA17" s="42"/>
      <c r="AB17" s="42"/>
      <c r="AC17" s="42"/>
      <c r="AD17" s="42"/>
      <c r="AE17" s="42"/>
      <c r="AF17" s="42"/>
      <c r="AG17" s="42"/>
      <c r="AH17" s="42"/>
      <c r="AI17" s="42"/>
      <c r="AJ17" s="42"/>
      <c r="AK17" s="42"/>
      <c r="AL17" s="42"/>
      <c r="AM17" s="42"/>
      <c r="AN17" s="42"/>
      <c r="AO17" s="42"/>
      <c r="AP17" s="42"/>
      <c r="AQ17" s="42"/>
      <c r="AR17" s="42"/>
      <c r="AS17" s="42"/>
      <c r="AT17" s="42"/>
      <c r="AU17" s="42"/>
      <c r="AV17" s="42"/>
      <c r="AW17" s="42"/>
      <c r="AX17" s="42"/>
      <c r="AY17" s="42"/>
      <c r="AZ17" s="43"/>
      <c r="BA17" s="25" t="str">
        <f t="shared" si="0"/>
        <v/>
      </c>
      <c r="BB17" s="17" t="str">
        <f t="shared" si="1"/>
        <v/>
      </c>
      <c r="BC17" s="17" t="str">
        <f t="shared" si="2"/>
        <v/>
      </c>
      <c r="BD17" s="17" t="str">
        <f t="shared" si="3"/>
        <v/>
      </c>
      <c r="BE17" s="26" t="str">
        <f t="shared" si="4"/>
        <v/>
      </c>
    </row>
    <row r="18" spans="1:57" ht="12" customHeight="1" x14ac:dyDescent="0.4">
      <c r="A18" s="37">
        <v>11</v>
      </c>
      <c r="B18" s="18">
        <f>'C. FILIACION'!B18</f>
        <v>0</v>
      </c>
      <c r="C18" s="42"/>
      <c r="D18" s="42"/>
      <c r="E18" s="42"/>
      <c r="F18" s="42"/>
      <c r="G18" s="42"/>
      <c r="H18" s="42"/>
      <c r="I18" s="42"/>
      <c r="J18" s="42"/>
      <c r="K18" s="42"/>
      <c r="L18" s="42"/>
      <c r="M18" s="42"/>
      <c r="N18" s="42"/>
      <c r="O18" s="42"/>
      <c r="P18" s="42"/>
      <c r="Q18" s="42"/>
      <c r="R18" s="42"/>
      <c r="S18" s="42"/>
      <c r="T18" s="42"/>
      <c r="U18" s="42"/>
      <c r="V18" s="42"/>
      <c r="W18" s="42"/>
      <c r="X18" s="42"/>
      <c r="Y18" s="42"/>
      <c r="Z18" s="42"/>
      <c r="AA18" s="42"/>
      <c r="AB18" s="42"/>
      <c r="AC18" s="42"/>
      <c r="AD18" s="42"/>
      <c r="AE18" s="42"/>
      <c r="AF18" s="42"/>
      <c r="AG18" s="42"/>
      <c r="AH18" s="42"/>
      <c r="AI18" s="42"/>
      <c r="AJ18" s="42"/>
      <c r="AK18" s="42"/>
      <c r="AL18" s="42"/>
      <c r="AM18" s="42"/>
      <c r="AN18" s="42"/>
      <c r="AO18" s="42"/>
      <c r="AP18" s="42"/>
      <c r="AQ18" s="42"/>
      <c r="AR18" s="42"/>
      <c r="AS18" s="42"/>
      <c r="AT18" s="42"/>
      <c r="AU18" s="42"/>
      <c r="AV18" s="42"/>
      <c r="AW18" s="42"/>
      <c r="AX18" s="42"/>
      <c r="AY18" s="42"/>
      <c r="AZ18" s="43"/>
      <c r="BA18" s="25" t="str">
        <f t="shared" si="0"/>
        <v/>
      </c>
      <c r="BB18" s="17" t="str">
        <f t="shared" si="1"/>
        <v/>
      </c>
      <c r="BC18" s="17" t="str">
        <f t="shared" si="2"/>
        <v/>
      </c>
      <c r="BD18" s="17" t="str">
        <f t="shared" si="3"/>
        <v/>
      </c>
      <c r="BE18" s="26" t="str">
        <f t="shared" si="4"/>
        <v/>
      </c>
    </row>
    <row r="19" spans="1:57" ht="12" customHeight="1" x14ac:dyDescent="0.4">
      <c r="A19" s="37">
        <v>12</v>
      </c>
      <c r="B19" s="18">
        <f>'C. FILIACION'!B19</f>
        <v>0</v>
      </c>
      <c r="C19" s="42"/>
      <c r="D19" s="42"/>
      <c r="E19" s="42"/>
      <c r="F19" s="42"/>
      <c r="G19" s="42"/>
      <c r="H19" s="42"/>
      <c r="I19" s="42"/>
      <c r="J19" s="42"/>
      <c r="K19" s="42"/>
      <c r="L19" s="42"/>
      <c r="M19" s="42"/>
      <c r="N19" s="42"/>
      <c r="O19" s="42"/>
      <c r="P19" s="42"/>
      <c r="Q19" s="42"/>
      <c r="R19" s="42"/>
      <c r="S19" s="42"/>
      <c r="T19" s="42"/>
      <c r="U19" s="42"/>
      <c r="V19" s="42"/>
      <c r="W19" s="42"/>
      <c r="X19" s="42"/>
      <c r="Y19" s="42"/>
      <c r="Z19" s="42"/>
      <c r="AA19" s="42"/>
      <c r="AB19" s="42"/>
      <c r="AC19" s="42"/>
      <c r="AD19" s="42"/>
      <c r="AE19" s="42"/>
      <c r="AF19" s="42"/>
      <c r="AG19" s="42"/>
      <c r="AH19" s="42"/>
      <c r="AI19" s="42"/>
      <c r="AJ19" s="42"/>
      <c r="AK19" s="42"/>
      <c r="AL19" s="42"/>
      <c r="AM19" s="42"/>
      <c r="AN19" s="42"/>
      <c r="AO19" s="42"/>
      <c r="AP19" s="42"/>
      <c r="AQ19" s="42"/>
      <c r="AR19" s="42"/>
      <c r="AS19" s="42"/>
      <c r="AT19" s="42"/>
      <c r="AU19" s="42"/>
      <c r="AV19" s="42"/>
      <c r="AW19" s="42"/>
      <c r="AX19" s="42"/>
      <c r="AY19" s="42"/>
      <c r="AZ19" s="43"/>
      <c r="BA19" s="25" t="str">
        <f t="shared" si="0"/>
        <v/>
      </c>
      <c r="BB19" s="17" t="str">
        <f t="shared" si="1"/>
        <v/>
      </c>
      <c r="BC19" s="17" t="str">
        <f t="shared" si="2"/>
        <v/>
      </c>
      <c r="BD19" s="17" t="str">
        <f t="shared" si="3"/>
        <v/>
      </c>
      <c r="BE19" s="26" t="str">
        <f t="shared" si="4"/>
        <v/>
      </c>
    </row>
    <row r="20" spans="1:57" ht="12" customHeight="1" x14ac:dyDescent="0.4">
      <c r="A20" s="37">
        <v>13</v>
      </c>
      <c r="B20" s="18">
        <f>'C. FILIACION'!B20</f>
        <v>0</v>
      </c>
      <c r="C20" s="42"/>
      <c r="D20" s="42"/>
      <c r="E20" s="42"/>
      <c r="F20" s="42"/>
      <c r="G20" s="42"/>
      <c r="H20" s="42"/>
      <c r="I20" s="42"/>
      <c r="J20" s="42"/>
      <c r="K20" s="42"/>
      <c r="L20" s="42"/>
      <c r="M20" s="42"/>
      <c r="N20" s="42"/>
      <c r="O20" s="42"/>
      <c r="P20" s="42"/>
      <c r="Q20" s="42"/>
      <c r="R20" s="42"/>
      <c r="S20" s="42"/>
      <c r="T20" s="42"/>
      <c r="U20" s="42"/>
      <c r="V20" s="42"/>
      <c r="W20" s="42"/>
      <c r="X20" s="42"/>
      <c r="Y20" s="42"/>
      <c r="Z20" s="42"/>
      <c r="AA20" s="42"/>
      <c r="AB20" s="42"/>
      <c r="AC20" s="42"/>
      <c r="AD20" s="42"/>
      <c r="AE20" s="42"/>
      <c r="AF20" s="42"/>
      <c r="AG20" s="42"/>
      <c r="AH20" s="42"/>
      <c r="AI20" s="42"/>
      <c r="AJ20" s="42"/>
      <c r="AK20" s="42"/>
      <c r="AL20" s="42"/>
      <c r="AM20" s="42"/>
      <c r="AN20" s="42"/>
      <c r="AO20" s="42"/>
      <c r="AP20" s="42"/>
      <c r="AQ20" s="42"/>
      <c r="AR20" s="42"/>
      <c r="AS20" s="42"/>
      <c r="AT20" s="42"/>
      <c r="AU20" s="42"/>
      <c r="AV20" s="42"/>
      <c r="AW20" s="42"/>
      <c r="AX20" s="42"/>
      <c r="AY20" s="42"/>
      <c r="AZ20" s="43"/>
      <c r="BA20" s="25" t="str">
        <f t="shared" si="0"/>
        <v/>
      </c>
      <c r="BB20" s="17" t="str">
        <f t="shared" si="1"/>
        <v/>
      </c>
      <c r="BC20" s="17" t="str">
        <f t="shared" si="2"/>
        <v/>
      </c>
      <c r="BD20" s="17" t="str">
        <f t="shared" si="3"/>
        <v/>
      </c>
      <c r="BE20" s="26" t="str">
        <f t="shared" si="4"/>
        <v/>
      </c>
    </row>
    <row r="21" spans="1:57" ht="12" customHeight="1" x14ac:dyDescent="0.4">
      <c r="A21" s="37">
        <v>14</v>
      </c>
      <c r="B21" s="18">
        <f>'C. FILIACION'!B21</f>
        <v>0</v>
      </c>
      <c r="C21" s="42"/>
      <c r="D21" s="42"/>
      <c r="E21" s="42"/>
      <c r="F21" s="42"/>
      <c r="G21" s="42"/>
      <c r="H21" s="42"/>
      <c r="I21" s="42"/>
      <c r="J21" s="42"/>
      <c r="K21" s="42"/>
      <c r="L21" s="42"/>
      <c r="M21" s="42"/>
      <c r="N21" s="42"/>
      <c r="O21" s="42"/>
      <c r="P21" s="42"/>
      <c r="Q21" s="42"/>
      <c r="R21" s="42"/>
      <c r="S21" s="42"/>
      <c r="T21" s="42"/>
      <c r="U21" s="42"/>
      <c r="V21" s="42"/>
      <c r="W21" s="42"/>
      <c r="X21" s="42"/>
      <c r="Y21" s="42"/>
      <c r="Z21" s="42"/>
      <c r="AA21" s="42"/>
      <c r="AB21" s="42"/>
      <c r="AC21" s="42"/>
      <c r="AD21" s="42"/>
      <c r="AE21" s="42"/>
      <c r="AF21" s="42"/>
      <c r="AG21" s="42"/>
      <c r="AH21" s="42"/>
      <c r="AI21" s="42"/>
      <c r="AJ21" s="42"/>
      <c r="AK21" s="42"/>
      <c r="AL21" s="42"/>
      <c r="AM21" s="42"/>
      <c r="AN21" s="42"/>
      <c r="AO21" s="42"/>
      <c r="AP21" s="42"/>
      <c r="AQ21" s="42"/>
      <c r="AR21" s="42"/>
      <c r="AS21" s="42"/>
      <c r="AT21" s="42"/>
      <c r="AU21" s="42"/>
      <c r="AV21" s="42"/>
      <c r="AW21" s="42"/>
      <c r="AX21" s="42"/>
      <c r="AY21" s="42"/>
      <c r="AZ21" s="43"/>
      <c r="BA21" s="25" t="str">
        <f t="shared" si="0"/>
        <v/>
      </c>
      <c r="BB21" s="17" t="str">
        <f t="shared" si="1"/>
        <v/>
      </c>
      <c r="BC21" s="17" t="str">
        <f t="shared" si="2"/>
        <v/>
      </c>
      <c r="BD21" s="17" t="str">
        <f t="shared" si="3"/>
        <v/>
      </c>
      <c r="BE21" s="26" t="str">
        <f t="shared" si="4"/>
        <v/>
      </c>
    </row>
    <row r="22" spans="1:57" ht="12" customHeight="1" x14ac:dyDescent="0.4">
      <c r="A22" s="37">
        <v>15</v>
      </c>
      <c r="B22" s="18">
        <f>'C. FILIACION'!B22</f>
        <v>0</v>
      </c>
      <c r="C22" s="42"/>
      <c r="D22" s="42"/>
      <c r="E22" s="42"/>
      <c r="F22" s="42"/>
      <c r="G22" s="42"/>
      <c r="H22" s="42"/>
      <c r="I22" s="42"/>
      <c r="J22" s="42"/>
      <c r="K22" s="42"/>
      <c r="L22" s="42"/>
      <c r="M22" s="42"/>
      <c r="N22" s="42"/>
      <c r="O22" s="42"/>
      <c r="P22" s="42"/>
      <c r="Q22" s="42"/>
      <c r="R22" s="42"/>
      <c r="S22" s="42"/>
      <c r="T22" s="42"/>
      <c r="U22" s="42"/>
      <c r="V22" s="42"/>
      <c r="W22" s="42"/>
      <c r="X22" s="42"/>
      <c r="Y22" s="42"/>
      <c r="Z22" s="42"/>
      <c r="AA22" s="42"/>
      <c r="AB22" s="42"/>
      <c r="AC22" s="42"/>
      <c r="AD22" s="42"/>
      <c r="AE22" s="42"/>
      <c r="AF22" s="42"/>
      <c r="AG22" s="42"/>
      <c r="AH22" s="42"/>
      <c r="AI22" s="42"/>
      <c r="AJ22" s="42"/>
      <c r="AK22" s="42"/>
      <c r="AL22" s="42"/>
      <c r="AM22" s="42"/>
      <c r="AN22" s="42"/>
      <c r="AO22" s="42"/>
      <c r="AP22" s="42"/>
      <c r="AQ22" s="42"/>
      <c r="AR22" s="42"/>
      <c r="AS22" s="42"/>
      <c r="AT22" s="42"/>
      <c r="AU22" s="42"/>
      <c r="AV22" s="42"/>
      <c r="AW22" s="42"/>
      <c r="AX22" s="42"/>
      <c r="AY22" s="42"/>
      <c r="AZ22" s="43"/>
      <c r="BA22" s="25" t="str">
        <f t="shared" si="0"/>
        <v/>
      </c>
      <c r="BB22" s="17" t="str">
        <f t="shared" si="1"/>
        <v/>
      </c>
      <c r="BC22" s="17" t="str">
        <f t="shared" si="2"/>
        <v/>
      </c>
      <c r="BD22" s="17" t="str">
        <f t="shared" si="3"/>
        <v/>
      </c>
      <c r="BE22" s="26" t="str">
        <f t="shared" si="4"/>
        <v/>
      </c>
    </row>
    <row r="23" spans="1:57" ht="12" customHeight="1" x14ac:dyDescent="0.4">
      <c r="A23" s="37">
        <v>16</v>
      </c>
      <c r="B23" s="18">
        <f>'C. FILIACION'!B23</f>
        <v>0</v>
      </c>
      <c r="C23" s="42"/>
      <c r="D23" s="42"/>
      <c r="E23" s="42"/>
      <c r="F23" s="42"/>
      <c r="G23" s="42"/>
      <c r="H23" s="42"/>
      <c r="I23" s="42"/>
      <c r="J23" s="42"/>
      <c r="K23" s="42"/>
      <c r="L23" s="42"/>
      <c r="M23" s="42"/>
      <c r="N23" s="42"/>
      <c r="O23" s="42"/>
      <c r="P23" s="42"/>
      <c r="Q23" s="42"/>
      <c r="R23" s="42"/>
      <c r="S23" s="42"/>
      <c r="T23" s="42"/>
      <c r="U23" s="42"/>
      <c r="V23" s="42"/>
      <c r="W23" s="42"/>
      <c r="X23" s="42"/>
      <c r="Y23" s="42"/>
      <c r="Z23" s="42"/>
      <c r="AA23" s="42"/>
      <c r="AB23" s="42"/>
      <c r="AC23" s="42"/>
      <c r="AD23" s="42"/>
      <c r="AE23" s="42"/>
      <c r="AF23" s="42"/>
      <c r="AG23" s="42"/>
      <c r="AH23" s="42"/>
      <c r="AI23" s="42"/>
      <c r="AJ23" s="42"/>
      <c r="AK23" s="42"/>
      <c r="AL23" s="42"/>
      <c r="AM23" s="42"/>
      <c r="AN23" s="42"/>
      <c r="AO23" s="42"/>
      <c r="AP23" s="42"/>
      <c r="AQ23" s="42"/>
      <c r="AR23" s="42"/>
      <c r="AS23" s="42"/>
      <c r="AT23" s="42"/>
      <c r="AU23" s="42"/>
      <c r="AV23" s="42"/>
      <c r="AW23" s="42"/>
      <c r="AX23" s="42"/>
      <c r="AY23" s="42"/>
      <c r="AZ23" s="43"/>
      <c r="BA23" s="25" t="str">
        <f t="shared" si="0"/>
        <v/>
      </c>
      <c r="BB23" s="17" t="str">
        <f t="shared" si="1"/>
        <v/>
      </c>
      <c r="BC23" s="17" t="str">
        <f t="shared" si="2"/>
        <v/>
      </c>
      <c r="BD23" s="17" t="str">
        <f t="shared" si="3"/>
        <v/>
      </c>
      <c r="BE23" s="26" t="str">
        <f t="shared" si="4"/>
        <v/>
      </c>
    </row>
    <row r="24" spans="1:57" ht="12" customHeight="1" x14ac:dyDescent="0.4">
      <c r="A24" s="37">
        <v>17</v>
      </c>
      <c r="B24" s="18">
        <f>'C. FILIACION'!B24</f>
        <v>0</v>
      </c>
      <c r="C24" s="42"/>
      <c r="D24" s="42"/>
      <c r="E24" s="42"/>
      <c r="F24" s="42"/>
      <c r="G24" s="42"/>
      <c r="H24" s="42"/>
      <c r="I24" s="42"/>
      <c r="J24" s="42"/>
      <c r="K24" s="42"/>
      <c r="L24" s="42"/>
      <c r="M24" s="42"/>
      <c r="N24" s="42"/>
      <c r="O24" s="42"/>
      <c r="P24" s="42"/>
      <c r="Q24" s="42"/>
      <c r="R24" s="42"/>
      <c r="S24" s="42"/>
      <c r="T24" s="42"/>
      <c r="U24" s="42"/>
      <c r="V24" s="42"/>
      <c r="W24" s="42"/>
      <c r="X24" s="42"/>
      <c r="Y24" s="42"/>
      <c r="Z24" s="42"/>
      <c r="AA24" s="42"/>
      <c r="AB24" s="42"/>
      <c r="AC24" s="42"/>
      <c r="AD24" s="42"/>
      <c r="AE24" s="42"/>
      <c r="AF24" s="42"/>
      <c r="AG24" s="42"/>
      <c r="AH24" s="42"/>
      <c r="AI24" s="42"/>
      <c r="AJ24" s="42"/>
      <c r="AK24" s="42"/>
      <c r="AL24" s="42"/>
      <c r="AM24" s="42"/>
      <c r="AN24" s="42"/>
      <c r="AO24" s="42"/>
      <c r="AP24" s="42"/>
      <c r="AQ24" s="42"/>
      <c r="AR24" s="42"/>
      <c r="AS24" s="42"/>
      <c r="AT24" s="42"/>
      <c r="AU24" s="42"/>
      <c r="AV24" s="42"/>
      <c r="AW24" s="42"/>
      <c r="AX24" s="42"/>
      <c r="AY24" s="42"/>
      <c r="AZ24" s="43"/>
      <c r="BA24" s="25" t="str">
        <f t="shared" si="0"/>
        <v/>
      </c>
      <c r="BB24" s="17" t="str">
        <f t="shared" si="1"/>
        <v/>
      </c>
      <c r="BC24" s="17" t="str">
        <f t="shared" si="2"/>
        <v/>
      </c>
      <c r="BD24" s="17" t="str">
        <f t="shared" si="3"/>
        <v/>
      </c>
      <c r="BE24" s="26" t="str">
        <f t="shared" si="4"/>
        <v/>
      </c>
    </row>
    <row r="25" spans="1:57" ht="12" customHeight="1" x14ac:dyDescent="0.4">
      <c r="A25" s="37">
        <v>18</v>
      </c>
      <c r="B25" s="18">
        <f>'C. FILIACION'!B25</f>
        <v>0</v>
      </c>
      <c r="C25" s="42"/>
      <c r="D25" s="42"/>
      <c r="E25" s="42"/>
      <c r="F25" s="42"/>
      <c r="G25" s="42"/>
      <c r="H25" s="42"/>
      <c r="I25" s="42"/>
      <c r="J25" s="42"/>
      <c r="K25" s="42"/>
      <c r="L25" s="42"/>
      <c r="M25" s="42"/>
      <c r="N25" s="42"/>
      <c r="O25" s="42"/>
      <c r="P25" s="42"/>
      <c r="Q25" s="42"/>
      <c r="R25" s="42"/>
      <c r="S25" s="42"/>
      <c r="T25" s="42"/>
      <c r="U25" s="42"/>
      <c r="V25" s="42"/>
      <c r="W25" s="42"/>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42"/>
      <c r="AW25" s="42"/>
      <c r="AX25" s="42"/>
      <c r="AY25" s="42"/>
      <c r="AZ25" s="43"/>
      <c r="BA25" s="25" t="str">
        <f t="shared" si="0"/>
        <v/>
      </c>
      <c r="BB25" s="17" t="str">
        <f t="shared" si="1"/>
        <v/>
      </c>
      <c r="BC25" s="17" t="str">
        <f t="shared" si="2"/>
        <v/>
      </c>
      <c r="BD25" s="17" t="str">
        <f t="shared" si="3"/>
        <v/>
      </c>
      <c r="BE25" s="26" t="str">
        <f t="shared" si="4"/>
        <v/>
      </c>
    </row>
    <row r="26" spans="1:57" ht="12" customHeight="1" x14ac:dyDescent="0.4">
      <c r="A26" s="37">
        <v>19</v>
      </c>
      <c r="B26" s="18">
        <f>'C. FILIACION'!B26</f>
        <v>0</v>
      </c>
      <c r="C26" s="42"/>
      <c r="D26" s="42"/>
      <c r="E26" s="42"/>
      <c r="F26" s="42"/>
      <c r="G26" s="42"/>
      <c r="H26" s="42"/>
      <c r="I26" s="42"/>
      <c r="J26" s="42"/>
      <c r="K26" s="42"/>
      <c r="L26" s="42"/>
      <c r="M26" s="42"/>
      <c r="N26" s="42"/>
      <c r="O26" s="42"/>
      <c r="P26" s="42"/>
      <c r="Q26" s="42"/>
      <c r="R26" s="42"/>
      <c r="S26" s="42"/>
      <c r="T26" s="42"/>
      <c r="U26" s="42"/>
      <c r="V26" s="42"/>
      <c r="W26" s="42"/>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42"/>
      <c r="AW26" s="42"/>
      <c r="AX26" s="42"/>
      <c r="AY26" s="42"/>
      <c r="AZ26" s="43"/>
      <c r="BA26" s="25" t="str">
        <f t="shared" si="0"/>
        <v/>
      </c>
      <c r="BB26" s="17" t="str">
        <f t="shared" si="1"/>
        <v/>
      </c>
      <c r="BC26" s="17" t="str">
        <f t="shared" si="2"/>
        <v/>
      </c>
      <c r="BD26" s="17" t="str">
        <f t="shared" si="3"/>
        <v/>
      </c>
      <c r="BE26" s="26" t="str">
        <f t="shared" si="4"/>
        <v/>
      </c>
    </row>
    <row r="27" spans="1:57" ht="12" customHeight="1" x14ac:dyDescent="0.4">
      <c r="A27" s="37">
        <v>20</v>
      </c>
      <c r="B27" s="18">
        <f>'C. FILIACION'!B27</f>
        <v>0</v>
      </c>
      <c r="C27" s="42"/>
      <c r="D27" s="42"/>
      <c r="E27" s="42"/>
      <c r="F27" s="42"/>
      <c r="G27" s="42"/>
      <c r="H27" s="42"/>
      <c r="I27" s="42"/>
      <c r="J27" s="42"/>
      <c r="K27" s="42"/>
      <c r="L27" s="42"/>
      <c r="M27" s="42"/>
      <c r="N27" s="42"/>
      <c r="O27" s="42"/>
      <c r="P27" s="42"/>
      <c r="Q27" s="42"/>
      <c r="R27" s="42"/>
      <c r="S27" s="42"/>
      <c r="T27" s="42"/>
      <c r="U27" s="42"/>
      <c r="V27" s="42"/>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42"/>
      <c r="AV27" s="42"/>
      <c r="AW27" s="42"/>
      <c r="AX27" s="42"/>
      <c r="AY27" s="42"/>
      <c r="AZ27" s="43"/>
      <c r="BA27" s="25" t="str">
        <f t="shared" si="0"/>
        <v/>
      </c>
      <c r="BB27" s="17" t="str">
        <f t="shared" si="1"/>
        <v/>
      </c>
      <c r="BC27" s="17" t="str">
        <f t="shared" si="2"/>
        <v/>
      </c>
      <c r="BD27" s="17" t="str">
        <f t="shared" si="3"/>
        <v/>
      </c>
      <c r="BE27" s="26" t="str">
        <f t="shared" si="4"/>
        <v/>
      </c>
    </row>
    <row r="28" spans="1:57" ht="12" customHeight="1" x14ac:dyDescent="0.4">
      <c r="A28" s="37">
        <v>21</v>
      </c>
      <c r="B28" s="18">
        <f>'C. FILIACION'!B28</f>
        <v>0</v>
      </c>
      <c r="C28" s="42"/>
      <c r="D28" s="42"/>
      <c r="E28" s="42"/>
      <c r="F28" s="42"/>
      <c r="G28" s="42"/>
      <c r="H28" s="42"/>
      <c r="I28" s="42"/>
      <c r="J28" s="42"/>
      <c r="K28" s="42"/>
      <c r="L28" s="42"/>
      <c r="M28" s="42"/>
      <c r="N28" s="42"/>
      <c r="O28" s="42"/>
      <c r="P28" s="42"/>
      <c r="Q28" s="42"/>
      <c r="R28" s="42"/>
      <c r="S28" s="42"/>
      <c r="T28" s="42"/>
      <c r="U28" s="42"/>
      <c r="V28" s="42"/>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42"/>
      <c r="AV28" s="42"/>
      <c r="AW28" s="42"/>
      <c r="AX28" s="42"/>
      <c r="AY28" s="42"/>
      <c r="AZ28" s="43"/>
      <c r="BA28" s="25" t="str">
        <f t="shared" si="0"/>
        <v/>
      </c>
      <c r="BB28" s="17" t="str">
        <f t="shared" si="1"/>
        <v/>
      </c>
      <c r="BC28" s="17" t="str">
        <f t="shared" si="2"/>
        <v/>
      </c>
      <c r="BD28" s="17" t="str">
        <f t="shared" si="3"/>
        <v/>
      </c>
      <c r="BE28" s="26" t="str">
        <f t="shared" si="4"/>
        <v/>
      </c>
    </row>
    <row r="29" spans="1:57" ht="12" customHeight="1" x14ac:dyDescent="0.4">
      <c r="A29" s="37">
        <v>22</v>
      </c>
      <c r="B29" s="18">
        <f>'C. FILIACION'!B29</f>
        <v>0</v>
      </c>
      <c r="C29" s="42"/>
      <c r="D29" s="42"/>
      <c r="E29" s="42"/>
      <c r="F29" s="42"/>
      <c r="G29" s="42"/>
      <c r="H29" s="42"/>
      <c r="I29" s="42"/>
      <c r="J29" s="42"/>
      <c r="K29" s="42"/>
      <c r="L29" s="42"/>
      <c r="M29" s="42"/>
      <c r="N29" s="42"/>
      <c r="O29" s="42"/>
      <c r="P29" s="42"/>
      <c r="Q29" s="42"/>
      <c r="R29" s="42"/>
      <c r="S29" s="42"/>
      <c r="T29" s="42"/>
      <c r="U29" s="42"/>
      <c r="V29" s="42"/>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42"/>
      <c r="AV29" s="42"/>
      <c r="AW29" s="42"/>
      <c r="AX29" s="42"/>
      <c r="AY29" s="42"/>
      <c r="AZ29" s="43"/>
      <c r="BA29" s="25" t="str">
        <f t="shared" si="0"/>
        <v/>
      </c>
      <c r="BB29" s="17" t="str">
        <f t="shared" si="1"/>
        <v/>
      </c>
      <c r="BC29" s="17" t="str">
        <f t="shared" si="2"/>
        <v/>
      </c>
      <c r="BD29" s="17" t="str">
        <f t="shared" si="3"/>
        <v/>
      </c>
      <c r="BE29" s="26" t="str">
        <f t="shared" si="4"/>
        <v/>
      </c>
    </row>
    <row r="30" spans="1:57" ht="12" customHeight="1" x14ac:dyDescent="0.4">
      <c r="A30" s="37">
        <v>23</v>
      </c>
      <c r="B30" s="18">
        <f>'C. FILIACION'!B30</f>
        <v>0</v>
      </c>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42"/>
      <c r="AU30" s="42"/>
      <c r="AV30" s="42"/>
      <c r="AW30" s="42"/>
      <c r="AX30" s="42"/>
      <c r="AY30" s="42"/>
      <c r="AZ30" s="43"/>
      <c r="BA30" s="25" t="str">
        <f t="shared" si="0"/>
        <v/>
      </c>
      <c r="BB30" s="17" t="str">
        <f t="shared" si="1"/>
        <v/>
      </c>
      <c r="BC30" s="17" t="str">
        <f t="shared" si="2"/>
        <v/>
      </c>
      <c r="BD30" s="17" t="str">
        <f t="shared" si="3"/>
        <v/>
      </c>
      <c r="BE30" s="26" t="str">
        <f t="shared" si="4"/>
        <v/>
      </c>
    </row>
    <row r="31" spans="1:57" ht="12" customHeight="1" x14ac:dyDescent="0.4">
      <c r="A31" s="37">
        <v>24</v>
      </c>
      <c r="B31" s="18">
        <f>'C. FILIACION'!B31</f>
        <v>0</v>
      </c>
      <c r="C31" s="42"/>
      <c r="D31" s="42"/>
      <c r="E31" s="42"/>
      <c r="F31" s="42"/>
      <c r="G31" s="42"/>
      <c r="H31" s="42"/>
      <c r="I31" s="42"/>
      <c r="J31" s="42"/>
      <c r="K31" s="42"/>
      <c r="L31" s="42"/>
      <c r="M31" s="42"/>
      <c r="N31" s="42"/>
      <c r="O31" s="42"/>
      <c r="P31" s="42"/>
      <c r="Q31" s="42"/>
      <c r="R31" s="42"/>
      <c r="S31" s="42"/>
      <c r="T31" s="42"/>
      <c r="U31" s="42"/>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42"/>
      <c r="AU31" s="42"/>
      <c r="AV31" s="42"/>
      <c r="AW31" s="42"/>
      <c r="AX31" s="42"/>
      <c r="AY31" s="42"/>
      <c r="AZ31" s="43"/>
      <c r="BA31" s="25" t="str">
        <f t="shared" si="0"/>
        <v/>
      </c>
      <c r="BB31" s="17" t="str">
        <f t="shared" si="1"/>
        <v/>
      </c>
      <c r="BC31" s="17" t="str">
        <f t="shared" si="2"/>
        <v/>
      </c>
      <c r="BD31" s="17" t="str">
        <f t="shared" si="3"/>
        <v/>
      </c>
      <c r="BE31" s="26" t="str">
        <f t="shared" si="4"/>
        <v/>
      </c>
    </row>
    <row r="32" spans="1:57" ht="12" customHeight="1" x14ac:dyDescent="0.4">
      <c r="A32" s="37">
        <v>25</v>
      </c>
      <c r="B32" s="18">
        <f>'C. FILIACION'!B32</f>
        <v>0</v>
      </c>
      <c r="C32" s="42"/>
      <c r="D32" s="42"/>
      <c r="E32" s="42"/>
      <c r="F32" s="42"/>
      <c r="G32" s="42"/>
      <c r="H32" s="42"/>
      <c r="I32" s="42"/>
      <c r="J32" s="42"/>
      <c r="K32" s="42"/>
      <c r="L32" s="42"/>
      <c r="M32" s="42"/>
      <c r="N32" s="42"/>
      <c r="O32" s="42"/>
      <c r="P32" s="42"/>
      <c r="Q32" s="42"/>
      <c r="R32" s="42"/>
      <c r="S32" s="42"/>
      <c r="T32" s="42"/>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42"/>
      <c r="AT32" s="42"/>
      <c r="AU32" s="42"/>
      <c r="AV32" s="42"/>
      <c r="AW32" s="42"/>
      <c r="AX32" s="42"/>
      <c r="AY32" s="42"/>
      <c r="AZ32" s="43"/>
      <c r="BA32" s="25" t="str">
        <f t="shared" si="0"/>
        <v/>
      </c>
      <c r="BB32" s="17" t="str">
        <f t="shared" si="1"/>
        <v/>
      </c>
      <c r="BC32" s="17" t="str">
        <f t="shared" si="2"/>
        <v/>
      </c>
      <c r="BD32" s="17" t="str">
        <f t="shared" si="3"/>
        <v/>
      </c>
      <c r="BE32" s="26" t="str">
        <f t="shared" si="4"/>
        <v/>
      </c>
    </row>
    <row r="33" spans="1:57" ht="12" customHeight="1" x14ac:dyDescent="0.4">
      <c r="A33" s="37">
        <v>26</v>
      </c>
      <c r="B33" s="18">
        <f>'C. FILIACION'!B33</f>
        <v>0</v>
      </c>
      <c r="C33" s="42"/>
      <c r="D33" s="42"/>
      <c r="E33" s="42"/>
      <c r="F33" s="42"/>
      <c r="G33" s="42"/>
      <c r="H33" s="42"/>
      <c r="I33" s="42"/>
      <c r="J33" s="42"/>
      <c r="K33" s="42"/>
      <c r="L33" s="42"/>
      <c r="M33" s="42"/>
      <c r="N33" s="42"/>
      <c r="O33" s="42"/>
      <c r="P33" s="42"/>
      <c r="Q33" s="42"/>
      <c r="R33" s="42"/>
      <c r="S33" s="42"/>
      <c r="T33" s="42"/>
      <c r="U33" s="42"/>
      <c r="V33" s="42"/>
      <c r="W33" s="42"/>
      <c r="X33" s="42"/>
      <c r="Y33" s="42"/>
      <c r="Z33" s="42"/>
      <c r="AA33" s="42"/>
      <c r="AB33" s="42"/>
      <c r="AC33" s="42"/>
      <c r="AD33" s="42"/>
      <c r="AE33" s="42"/>
      <c r="AF33" s="42"/>
      <c r="AG33" s="42"/>
      <c r="AH33" s="42"/>
      <c r="AI33" s="42"/>
      <c r="AJ33" s="42"/>
      <c r="AK33" s="42"/>
      <c r="AL33" s="42"/>
      <c r="AM33" s="42"/>
      <c r="AN33" s="42"/>
      <c r="AO33" s="42"/>
      <c r="AP33" s="42"/>
      <c r="AQ33" s="42"/>
      <c r="AR33" s="42"/>
      <c r="AS33" s="42"/>
      <c r="AT33" s="42"/>
      <c r="AU33" s="42"/>
      <c r="AV33" s="42"/>
      <c r="AW33" s="42"/>
      <c r="AX33" s="42"/>
      <c r="AY33" s="42"/>
      <c r="AZ33" s="43"/>
      <c r="BA33" s="25" t="str">
        <f t="shared" si="0"/>
        <v/>
      </c>
      <c r="BB33" s="17" t="str">
        <f t="shared" si="1"/>
        <v/>
      </c>
      <c r="BC33" s="17" t="str">
        <f t="shared" si="2"/>
        <v/>
      </c>
      <c r="BD33" s="17" t="str">
        <f t="shared" si="3"/>
        <v/>
      </c>
      <c r="BE33" s="26" t="str">
        <f t="shared" si="4"/>
        <v/>
      </c>
    </row>
    <row r="34" spans="1:57" ht="12" customHeight="1" x14ac:dyDescent="0.4">
      <c r="A34" s="37">
        <v>27</v>
      </c>
      <c r="B34" s="18">
        <f>'C. FILIACION'!B34</f>
        <v>0</v>
      </c>
      <c r="C34" s="42"/>
      <c r="D34" s="42"/>
      <c r="E34" s="42"/>
      <c r="F34" s="42"/>
      <c r="G34" s="42"/>
      <c r="H34" s="42"/>
      <c r="I34" s="42"/>
      <c r="J34" s="42"/>
      <c r="K34" s="42"/>
      <c r="L34" s="42"/>
      <c r="M34" s="42"/>
      <c r="N34" s="42"/>
      <c r="O34" s="42"/>
      <c r="P34" s="42"/>
      <c r="Q34" s="42"/>
      <c r="R34" s="42"/>
      <c r="S34" s="42"/>
      <c r="T34" s="42"/>
      <c r="U34" s="42"/>
      <c r="V34" s="42"/>
      <c r="W34" s="42"/>
      <c r="X34" s="42"/>
      <c r="Y34" s="42"/>
      <c r="Z34" s="42"/>
      <c r="AA34" s="42"/>
      <c r="AB34" s="42"/>
      <c r="AC34" s="42"/>
      <c r="AD34" s="42"/>
      <c r="AE34" s="42"/>
      <c r="AF34" s="42"/>
      <c r="AG34" s="42"/>
      <c r="AH34" s="42"/>
      <c r="AI34" s="42"/>
      <c r="AJ34" s="42"/>
      <c r="AK34" s="42"/>
      <c r="AL34" s="42"/>
      <c r="AM34" s="42"/>
      <c r="AN34" s="42"/>
      <c r="AO34" s="42"/>
      <c r="AP34" s="42"/>
      <c r="AQ34" s="42"/>
      <c r="AR34" s="42"/>
      <c r="AS34" s="42"/>
      <c r="AT34" s="42"/>
      <c r="AU34" s="42"/>
      <c r="AV34" s="42"/>
      <c r="AW34" s="42"/>
      <c r="AX34" s="42"/>
      <c r="AY34" s="42"/>
      <c r="AZ34" s="43"/>
      <c r="BA34" s="25" t="str">
        <f t="shared" si="0"/>
        <v/>
      </c>
      <c r="BB34" s="17" t="str">
        <f t="shared" si="1"/>
        <v/>
      </c>
      <c r="BC34" s="17" t="str">
        <f t="shared" si="2"/>
        <v/>
      </c>
      <c r="BD34" s="17" t="str">
        <f t="shared" si="3"/>
        <v/>
      </c>
      <c r="BE34" s="26" t="str">
        <f t="shared" si="4"/>
        <v/>
      </c>
    </row>
    <row r="35" spans="1:57" ht="12" customHeight="1" x14ac:dyDescent="0.4">
      <c r="A35" s="37">
        <v>28</v>
      </c>
      <c r="B35" s="18">
        <f>'C. FILIACION'!B35</f>
        <v>0</v>
      </c>
      <c r="C35" s="42"/>
      <c r="D35" s="42"/>
      <c r="E35" s="42"/>
      <c r="F35" s="42"/>
      <c r="G35" s="42"/>
      <c r="H35" s="42"/>
      <c r="I35" s="42"/>
      <c r="J35" s="42"/>
      <c r="K35" s="42"/>
      <c r="L35" s="42"/>
      <c r="M35" s="42"/>
      <c r="N35" s="42"/>
      <c r="O35" s="42"/>
      <c r="P35" s="42"/>
      <c r="Q35" s="42"/>
      <c r="R35" s="42"/>
      <c r="S35" s="42"/>
      <c r="T35" s="42"/>
      <c r="U35" s="42"/>
      <c r="V35" s="42"/>
      <c r="W35" s="42"/>
      <c r="X35" s="42"/>
      <c r="Y35" s="42"/>
      <c r="Z35" s="42"/>
      <c r="AA35" s="42"/>
      <c r="AB35" s="42"/>
      <c r="AC35" s="42"/>
      <c r="AD35" s="42"/>
      <c r="AE35" s="42"/>
      <c r="AF35" s="42"/>
      <c r="AG35" s="42"/>
      <c r="AH35" s="42"/>
      <c r="AI35" s="42"/>
      <c r="AJ35" s="42"/>
      <c r="AK35" s="42"/>
      <c r="AL35" s="42"/>
      <c r="AM35" s="42"/>
      <c r="AN35" s="42"/>
      <c r="AO35" s="42"/>
      <c r="AP35" s="42"/>
      <c r="AQ35" s="42"/>
      <c r="AR35" s="42"/>
      <c r="AS35" s="42"/>
      <c r="AT35" s="42"/>
      <c r="AU35" s="42"/>
      <c r="AV35" s="42"/>
      <c r="AW35" s="42"/>
      <c r="AX35" s="42"/>
      <c r="AY35" s="42"/>
      <c r="AZ35" s="43"/>
      <c r="BA35" s="25" t="str">
        <f t="shared" si="0"/>
        <v/>
      </c>
      <c r="BB35" s="17" t="str">
        <f t="shared" si="1"/>
        <v/>
      </c>
      <c r="BC35" s="17" t="str">
        <f t="shared" si="2"/>
        <v/>
      </c>
      <c r="BD35" s="17" t="str">
        <f t="shared" si="3"/>
        <v/>
      </c>
      <c r="BE35" s="26" t="str">
        <f t="shared" si="4"/>
        <v/>
      </c>
    </row>
    <row r="36" spans="1:57" ht="12" customHeight="1" x14ac:dyDescent="0.4">
      <c r="A36" s="37">
        <v>29</v>
      </c>
      <c r="B36" s="18">
        <f>'C. FILIACION'!B36</f>
        <v>0</v>
      </c>
      <c r="C36" s="42"/>
      <c r="D36" s="42"/>
      <c r="E36" s="42"/>
      <c r="F36" s="42"/>
      <c r="G36" s="42"/>
      <c r="H36" s="42"/>
      <c r="I36" s="42"/>
      <c r="J36" s="42"/>
      <c r="K36" s="42"/>
      <c r="L36" s="42"/>
      <c r="M36" s="42"/>
      <c r="N36" s="42"/>
      <c r="O36" s="42"/>
      <c r="P36" s="42"/>
      <c r="Q36" s="42"/>
      <c r="R36" s="42"/>
      <c r="S36" s="42"/>
      <c r="T36" s="42"/>
      <c r="U36" s="42"/>
      <c r="V36" s="42"/>
      <c r="W36" s="42"/>
      <c r="X36" s="42"/>
      <c r="Y36" s="42"/>
      <c r="Z36" s="42"/>
      <c r="AA36" s="42"/>
      <c r="AB36" s="42"/>
      <c r="AC36" s="42"/>
      <c r="AD36" s="42"/>
      <c r="AE36" s="42"/>
      <c r="AF36" s="42"/>
      <c r="AG36" s="42"/>
      <c r="AH36" s="42"/>
      <c r="AI36" s="42"/>
      <c r="AJ36" s="42"/>
      <c r="AK36" s="42"/>
      <c r="AL36" s="42"/>
      <c r="AM36" s="42"/>
      <c r="AN36" s="42"/>
      <c r="AO36" s="42"/>
      <c r="AP36" s="42"/>
      <c r="AQ36" s="42"/>
      <c r="AR36" s="42"/>
      <c r="AS36" s="42"/>
      <c r="AT36" s="42"/>
      <c r="AU36" s="42"/>
      <c r="AV36" s="42"/>
      <c r="AW36" s="42"/>
      <c r="AX36" s="42"/>
      <c r="AY36" s="42"/>
      <c r="AZ36" s="43"/>
      <c r="BA36" s="25" t="str">
        <f t="shared" si="0"/>
        <v/>
      </c>
      <c r="BB36" s="17" t="str">
        <f t="shared" si="1"/>
        <v/>
      </c>
      <c r="BC36" s="17" t="str">
        <f t="shared" si="2"/>
        <v/>
      </c>
      <c r="BD36" s="17" t="str">
        <f t="shared" si="3"/>
        <v/>
      </c>
      <c r="BE36" s="26" t="str">
        <f t="shared" si="4"/>
        <v/>
      </c>
    </row>
    <row r="37" spans="1:57" ht="12" customHeight="1" x14ac:dyDescent="0.4">
      <c r="A37" s="37">
        <v>30</v>
      </c>
      <c r="B37" s="18">
        <f>'C. FILIACION'!B37</f>
        <v>0</v>
      </c>
      <c r="C37" s="42"/>
      <c r="D37" s="42"/>
      <c r="E37" s="42"/>
      <c r="F37" s="42"/>
      <c r="G37" s="42"/>
      <c r="H37" s="42"/>
      <c r="I37" s="42"/>
      <c r="J37" s="42"/>
      <c r="K37" s="42"/>
      <c r="L37" s="42"/>
      <c r="M37" s="42"/>
      <c r="N37" s="42"/>
      <c r="O37" s="42"/>
      <c r="P37" s="42"/>
      <c r="Q37" s="42"/>
      <c r="R37" s="42"/>
      <c r="S37" s="42"/>
      <c r="T37" s="42"/>
      <c r="U37" s="42"/>
      <c r="V37" s="42"/>
      <c r="W37" s="42"/>
      <c r="X37" s="42"/>
      <c r="Y37" s="42"/>
      <c r="Z37" s="42"/>
      <c r="AA37" s="42"/>
      <c r="AB37" s="42"/>
      <c r="AC37" s="42"/>
      <c r="AD37" s="42"/>
      <c r="AE37" s="42"/>
      <c r="AF37" s="42"/>
      <c r="AG37" s="42"/>
      <c r="AH37" s="42"/>
      <c r="AI37" s="42"/>
      <c r="AJ37" s="42"/>
      <c r="AK37" s="42"/>
      <c r="AL37" s="42"/>
      <c r="AM37" s="42"/>
      <c r="AN37" s="42"/>
      <c r="AO37" s="42"/>
      <c r="AP37" s="42"/>
      <c r="AQ37" s="42"/>
      <c r="AR37" s="42"/>
      <c r="AS37" s="42"/>
      <c r="AT37" s="42"/>
      <c r="AU37" s="42"/>
      <c r="AV37" s="42"/>
      <c r="AW37" s="42"/>
      <c r="AX37" s="42"/>
      <c r="AY37" s="42"/>
      <c r="AZ37" s="43"/>
      <c r="BA37" s="25" t="str">
        <f t="shared" si="0"/>
        <v/>
      </c>
      <c r="BB37" s="17" t="str">
        <f t="shared" si="1"/>
        <v/>
      </c>
      <c r="BC37" s="17" t="str">
        <f t="shared" si="2"/>
        <v/>
      </c>
      <c r="BD37" s="17" t="str">
        <f t="shared" si="3"/>
        <v/>
      </c>
      <c r="BE37" s="26" t="str">
        <f t="shared" si="4"/>
        <v/>
      </c>
    </row>
    <row r="38" spans="1:57" ht="12" customHeight="1" x14ac:dyDescent="0.4">
      <c r="A38" s="37">
        <v>31</v>
      </c>
      <c r="B38" s="18">
        <f>'C. FILIACION'!B38</f>
        <v>0</v>
      </c>
      <c r="C38" s="42"/>
      <c r="D38" s="42"/>
      <c r="E38" s="42"/>
      <c r="F38" s="42"/>
      <c r="G38" s="42"/>
      <c r="H38" s="42"/>
      <c r="I38" s="42"/>
      <c r="J38" s="42"/>
      <c r="K38" s="42"/>
      <c r="L38" s="42"/>
      <c r="M38" s="42"/>
      <c r="N38" s="42"/>
      <c r="O38" s="42"/>
      <c r="P38" s="42"/>
      <c r="Q38" s="42"/>
      <c r="R38" s="42"/>
      <c r="S38" s="42"/>
      <c r="T38" s="42"/>
      <c r="U38" s="42"/>
      <c r="V38" s="42"/>
      <c r="W38" s="42"/>
      <c r="X38" s="42"/>
      <c r="Y38" s="42"/>
      <c r="Z38" s="42"/>
      <c r="AA38" s="42"/>
      <c r="AB38" s="42"/>
      <c r="AC38" s="42"/>
      <c r="AD38" s="42"/>
      <c r="AE38" s="42"/>
      <c r="AF38" s="42"/>
      <c r="AG38" s="42"/>
      <c r="AH38" s="42"/>
      <c r="AI38" s="42"/>
      <c r="AJ38" s="42"/>
      <c r="AK38" s="42"/>
      <c r="AL38" s="42"/>
      <c r="AM38" s="42"/>
      <c r="AN38" s="42"/>
      <c r="AO38" s="42"/>
      <c r="AP38" s="42"/>
      <c r="AQ38" s="42"/>
      <c r="AR38" s="42"/>
      <c r="AS38" s="42"/>
      <c r="AT38" s="42"/>
      <c r="AU38" s="42"/>
      <c r="AV38" s="42"/>
      <c r="AW38" s="42"/>
      <c r="AX38" s="42"/>
      <c r="AY38" s="42"/>
      <c r="AZ38" s="43"/>
      <c r="BA38" s="25" t="str">
        <f t="shared" si="0"/>
        <v/>
      </c>
      <c r="BB38" s="17" t="str">
        <f t="shared" si="1"/>
        <v/>
      </c>
      <c r="BC38" s="17" t="str">
        <f t="shared" si="2"/>
        <v/>
      </c>
      <c r="BD38" s="17" t="str">
        <f t="shared" si="3"/>
        <v/>
      </c>
      <c r="BE38" s="26" t="str">
        <f t="shared" si="4"/>
        <v/>
      </c>
    </row>
    <row r="39" spans="1:57" ht="12" customHeight="1" x14ac:dyDescent="0.4">
      <c r="A39" s="37">
        <v>32</v>
      </c>
      <c r="B39" s="18">
        <f>'C. FILIACION'!B39</f>
        <v>0</v>
      </c>
      <c r="C39" s="42"/>
      <c r="D39" s="42"/>
      <c r="E39" s="42"/>
      <c r="F39" s="42"/>
      <c r="G39" s="42"/>
      <c r="H39" s="42"/>
      <c r="I39" s="42"/>
      <c r="J39" s="42"/>
      <c r="K39" s="42"/>
      <c r="L39" s="42"/>
      <c r="M39" s="42"/>
      <c r="N39" s="42"/>
      <c r="O39" s="42"/>
      <c r="P39" s="42"/>
      <c r="Q39" s="42"/>
      <c r="R39" s="42"/>
      <c r="S39" s="42"/>
      <c r="T39" s="42"/>
      <c r="U39" s="42"/>
      <c r="V39" s="42"/>
      <c r="W39" s="42"/>
      <c r="X39" s="42"/>
      <c r="Y39" s="42"/>
      <c r="Z39" s="42"/>
      <c r="AA39" s="42"/>
      <c r="AB39" s="42"/>
      <c r="AC39" s="42"/>
      <c r="AD39" s="42"/>
      <c r="AE39" s="42"/>
      <c r="AF39" s="42"/>
      <c r="AG39" s="42"/>
      <c r="AH39" s="42"/>
      <c r="AI39" s="42"/>
      <c r="AJ39" s="42"/>
      <c r="AK39" s="42"/>
      <c r="AL39" s="42"/>
      <c r="AM39" s="42"/>
      <c r="AN39" s="42"/>
      <c r="AO39" s="42"/>
      <c r="AP39" s="42"/>
      <c r="AQ39" s="42"/>
      <c r="AR39" s="42"/>
      <c r="AS39" s="42"/>
      <c r="AT39" s="42"/>
      <c r="AU39" s="42"/>
      <c r="AV39" s="42"/>
      <c r="AW39" s="42"/>
      <c r="AX39" s="42"/>
      <c r="AY39" s="42"/>
      <c r="AZ39" s="43"/>
      <c r="BA39" s="25" t="str">
        <f t="shared" si="0"/>
        <v/>
      </c>
      <c r="BB39" s="17" t="str">
        <f t="shared" si="1"/>
        <v/>
      </c>
      <c r="BC39" s="17" t="str">
        <f t="shared" si="2"/>
        <v/>
      </c>
      <c r="BD39" s="17" t="str">
        <f t="shared" si="3"/>
        <v/>
      </c>
      <c r="BE39" s="26" t="str">
        <f t="shared" si="4"/>
        <v/>
      </c>
    </row>
    <row r="40" spans="1:57" ht="12" customHeight="1" x14ac:dyDescent="0.4">
      <c r="A40" s="37">
        <v>33</v>
      </c>
      <c r="B40" s="18">
        <f>'C. FILIACION'!B40</f>
        <v>0</v>
      </c>
      <c r="C40" s="42"/>
      <c r="D40" s="42"/>
      <c r="E40" s="42"/>
      <c r="F40" s="42"/>
      <c r="G40" s="42"/>
      <c r="H40" s="42"/>
      <c r="I40" s="42"/>
      <c r="J40" s="42"/>
      <c r="K40" s="42"/>
      <c r="L40" s="42"/>
      <c r="M40" s="42"/>
      <c r="N40" s="42"/>
      <c r="O40" s="42"/>
      <c r="P40" s="42"/>
      <c r="Q40" s="42"/>
      <c r="R40" s="42"/>
      <c r="S40" s="42"/>
      <c r="T40" s="42"/>
      <c r="U40" s="42"/>
      <c r="V40" s="42"/>
      <c r="W40" s="42"/>
      <c r="X40" s="42"/>
      <c r="Y40" s="42"/>
      <c r="Z40" s="42"/>
      <c r="AA40" s="42"/>
      <c r="AB40" s="42"/>
      <c r="AC40" s="42"/>
      <c r="AD40" s="42"/>
      <c r="AE40" s="42"/>
      <c r="AF40" s="42"/>
      <c r="AG40" s="42"/>
      <c r="AH40" s="42"/>
      <c r="AI40" s="42"/>
      <c r="AJ40" s="42"/>
      <c r="AK40" s="42"/>
      <c r="AL40" s="42"/>
      <c r="AM40" s="42"/>
      <c r="AN40" s="42"/>
      <c r="AO40" s="42"/>
      <c r="AP40" s="42"/>
      <c r="AQ40" s="42"/>
      <c r="AR40" s="42"/>
      <c r="AS40" s="42"/>
      <c r="AT40" s="42"/>
      <c r="AU40" s="42"/>
      <c r="AV40" s="42"/>
      <c r="AW40" s="42"/>
      <c r="AX40" s="42"/>
      <c r="AY40" s="42"/>
      <c r="AZ40" s="43"/>
      <c r="BA40" s="25" t="str">
        <f t="shared" si="0"/>
        <v/>
      </c>
      <c r="BB40" s="17" t="str">
        <f t="shared" si="1"/>
        <v/>
      </c>
      <c r="BC40" s="17" t="str">
        <f t="shared" si="2"/>
        <v/>
      </c>
      <c r="BD40" s="17" t="str">
        <f t="shared" si="3"/>
        <v/>
      </c>
      <c r="BE40" s="26" t="str">
        <f t="shared" si="4"/>
        <v/>
      </c>
    </row>
    <row r="41" spans="1:57" ht="12" customHeight="1" x14ac:dyDescent="0.4">
      <c r="A41" s="37">
        <v>34</v>
      </c>
      <c r="B41" s="18">
        <f>'C. FILIACION'!B41</f>
        <v>0</v>
      </c>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42"/>
      <c r="AX41" s="42"/>
      <c r="AY41" s="42"/>
      <c r="AZ41" s="43"/>
      <c r="BA41" s="25" t="str">
        <f t="shared" si="0"/>
        <v/>
      </c>
      <c r="BB41" s="17" t="str">
        <f t="shared" si="1"/>
        <v/>
      </c>
      <c r="BC41" s="17" t="str">
        <f t="shared" si="2"/>
        <v/>
      </c>
      <c r="BD41" s="17" t="str">
        <f t="shared" si="3"/>
        <v/>
      </c>
      <c r="BE41" s="26" t="str">
        <f t="shared" si="4"/>
        <v/>
      </c>
    </row>
    <row r="42" spans="1:57" ht="12" customHeight="1" x14ac:dyDescent="0.4">
      <c r="A42" s="37">
        <v>35</v>
      </c>
      <c r="B42" s="18">
        <f>'C. FILIACION'!B42</f>
        <v>0</v>
      </c>
      <c r="C42" s="42"/>
      <c r="D42" s="42"/>
      <c r="E42" s="42"/>
      <c r="F42" s="42"/>
      <c r="G42" s="42"/>
      <c r="H42" s="42"/>
      <c r="I42" s="42"/>
      <c r="J42" s="42"/>
      <c r="K42" s="42"/>
      <c r="L42" s="42"/>
      <c r="M42" s="42"/>
      <c r="N42" s="42"/>
      <c r="O42" s="42"/>
      <c r="P42" s="42"/>
      <c r="Q42" s="42"/>
      <c r="R42" s="42"/>
      <c r="S42" s="42"/>
      <c r="T42" s="42"/>
      <c r="U42" s="42"/>
      <c r="V42" s="42"/>
      <c r="W42" s="42"/>
      <c r="X42" s="42"/>
      <c r="Y42" s="42"/>
      <c r="Z42" s="42"/>
      <c r="AA42" s="42"/>
      <c r="AB42" s="42"/>
      <c r="AC42" s="42"/>
      <c r="AD42" s="42"/>
      <c r="AE42" s="42"/>
      <c r="AF42" s="42"/>
      <c r="AG42" s="42"/>
      <c r="AH42" s="42"/>
      <c r="AI42" s="42"/>
      <c r="AJ42" s="42"/>
      <c r="AK42" s="42"/>
      <c r="AL42" s="42"/>
      <c r="AM42" s="42"/>
      <c r="AN42" s="42"/>
      <c r="AO42" s="42"/>
      <c r="AP42" s="42"/>
      <c r="AQ42" s="42"/>
      <c r="AR42" s="42"/>
      <c r="AS42" s="42"/>
      <c r="AT42" s="42"/>
      <c r="AU42" s="42"/>
      <c r="AV42" s="42"/>
      <c r="AW42" s="42"/>
      <c r="AX42" s="42"/>
      <c r="AY42" s="42"/>
      <c r="AZ42" s="43"/>
      <c r="BA42" s="25" t="str">
        <f t="shared" si="0"/>
        <v/>
      </c>
      <c r="BB42" s="17" t="str">
        <f t="shared" si="1"/>
        <v/>
      </c>
      <c r="BC42" s="17" t="str">
        <f t="shared" si="2"/>
        <v/>
      </c>
      <c r="BD42" s="17" t="str">
        <f t="shared" si="3"/>
        <v/>
      </c>
      <c r="BE42" s="26" t="str">
        <f t="shared" si="4"/>
        <v/>
      </c>
    </row>
    <row r="43" spans="1:57" ht="12" customHeight="1" x14ac:dyDescent="0.4">
      <c r="A43" s="37">
        <v>36</v>
      </c>
      <c r="B43" s="18">
        <f>'C. FILIACION'!B43</f>
        <v>0</v>
      </c>
      <c r="C43" s="44"/>
      <c r="D43" s="44"/>
      <c r="E43" s="44"/>
      <c r="F43" s="44"/>
      <c r="G43" s="44"/>
      <c r="H43" s="44"/>
      <c r="I43" s="44"/>
      <c r="J43" s="44"/>
      <c r="K43" s="44"/>
      <c r="L43" s="44"/>
      <c r="M43" s="44"/>
      <c r="N43" s="44"/>
      <c r="O43" s="44"/>
      <c r="P43" s="44"/>
      <c r="Q43" s="44"/>
      <c r="R43" s="44"/>
      <c r="S43" s="44"/>
      <c r="T43" s="44"/>
      <c r="U43" s="44"/>
      <c r="V43" s="44"/>
      <c r="W43" s="44"/>
      <c r="X43" s="44"/>
      <c r="Y43" s="44"/>
      <c r="Z43" s="44"/>
      <c r="AA43" s="44"/>
      <c r="AB43" s="44"/>
      <c r="AC43" s="44"/>
      <c r="AD43" s="44"/>
      <c r="AE43" s="44"/>
      <c r="AF43" s="44"/>
      <c r="AG43" s="44"/>
      <c r="AH43" s="44"/>
      <c r="AI43" s="44"/>
      <c r="AJ43" s="44"/>
      <c r="AK43" s="44"/>
      <c r="AL43" s="44"/>
      <c r="AM43" s="44"/>
      <c r="AN43" s="44"/>
      <c r="AO43" s="44"/>
      <c r="AP43" s="44"/>
      <c r="AQ43" s="44"/>
      <c r="AR43" s="44"/>
      <c r="AS43" s="44"/>
      <c r="AT43" s="44"/>
      <c r="AU43" s="44"/>
      <c r="AV43" s="44"/>
      <c r="AW43" s="44"/>
      <c r="AX43" s="44"/>
      <c r="AY43" s="44"/>
      <c r="AZ43" s="45"/>
      <c r="BA43" s="25" t="str">
        <f t="shared" si="0"/>
        <v/>
      </c>
      <c r="BB43" s="17" t="str">
        <f t="shared" si="1"/>
        <v/>
      </c>
      <c r="BC43" s="17" t="str">
        <f t="shared" si="2"/>
        <v/>
      </c>
      <c r="BD43" s="17" t="str">
        <f t="shared" si="3"/>
        <v/>
      </c>
      <c r="BE43" s="26" t="str">
        <f t="shared" si="4"/>
        <v/>
      </c>
    </row>
  </sheetData>
  <sheetProtection algorithmName="SHA-512" hashValue="/ysloKlfqkRJ10bTixnV6zgkStB138h6mKXc0s0WFx2j33x3yuYFtHi7FJa776ZuYpqrBASLiX3i3QN9B0zbZA==" saltValue="dzTemOOu4WiP53Pz23LLtg==" spinCount="100000" sheet="1" objects="1" scenarios="1"/>
  <mergeCells count="7">
    <mergeCell ref="B2:BI2"/>
    <mergeCell ref="AT3:AZ3"/>
    <mergeCell ref="BA3:BE3"/>
    <mergeCell ref="AT4:AZ4"/>
    <mergeCell ref="BA4:BE5"/>
    <mergeCell ref="X5:AC5"/>
    <mergeCell ref="AT5:AZ5"/>
  </mergeCells>
  <pageMargins left="0" right="0" top="0" bottom="0" header="0.31496062992125984" footer="0.31496062992125984"/>
  <pageSetup orientation="landscape"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7">
    <tabColor theme="9" tint="-0.499984740745262"/>
  </sheetPr>
  <dimension ref="A1:AV44"/>
  <sheetViews>
    <sheetView zoomScale="120" zoomScaleNormal="120" workbookViewId="0">
      <selection activeCell="R10" sqref="R10"/>
    </sheetView>
  </sheetViews>
  <sheetFormatPr baseColWidth="10" defaultColWidth="8.7109375" defaultRowHeight="12.9" customHeight="1" x14ac:dyDescent="0.4"/>
  <cols>
    <col min="1" max="1" width="1.640625" customWidth="1"/>
    <col min="2" max="2" width="19.640625" customWidth="1"/>
    <col min="3" max="3" width="1.640625" customWidth="1"/>
    <col min="4" max="14" width="1.78515625" customWidth="1"/>
    <col min="15" max="15" width="1.640625" customWidth="1"/>
    <col min="16" max="26" width="1.78515625" customWidth="1"/>
    <col min="27" max="30" width="1.640625" customWidth="1"/>
    <col min="31" max="31" width="2.2109375" customWidth="1"/>
    <col min="32" max="32" width="1.78515625" customWidth="1"/>
    <col min="33" max="33" width="2.640625" customWidth="1"/>
    <col min="34" max="34" width="1.35546875" customWidth="1"/>
    <col min="35" max="38" width="1.640625" customWidth="1"/>
    <col min="39" max="39" width="0.42578125" customWidth="1"/>
    <col min="40" max="40" width="1.640625" customWidth="1"/>
    <col min="41" max="44" width="1.42578125" customWidth="1"/>
    <col min="45" max="49" width="1.640625" customWidth="1"/>
  </cols>
  <sheetData>
    <row r="1" spans="1:48" ht="5.0999999999999996" customHeight="1" x14ac:dyDescent="0.4">
      <c r="A1" s="163"/>
      <c r="B1" s="163"/>
      <c r="C1" s="163"/>
      <c r="D1" s="163"/>
      <c r="E1" s="163"/>
      <c r="F1" s="163"/>
      <c r="G1" s="163"/>
      <c r="H1" s="163"/>
      <c r="I1" s="163"/>
      <c r="J1" s="163"/>
      <c r="K1" s="163"/>
      <c r="L1" s="163"/>
      <c r="M1" s="163"/>
      <c r="N1" s="163"/>
      <c r="O1" s="163"/>
      <c r="P1" s="163"/>
      <c r="Q1" s="163"/>
      <c r="R1" s="163"/>
      <c r="S1" s="163"/>
      <c r="T1" s="163"/>
      <c r="U1" s="163"/>
      <c r="V1" s="163"/>
      <c r="W1" s="163"/>
      <c r="X1" s="163"/>
      <c r="Y1" s="163"/>
      <c r="Z1" s="163"/>
      <c r="AA1" s="163"/>
      <c r="AB1" s="163"/>
      <c r="AC1" s="163"/>
      <c r="AD1" s="163"/>
      <c r="AE1" s="163"/>
      <c r="AF1" s="163"/>
      <c r="AG1" s="163"/>
      <c r="AH1" s="163"/>
      <c r="AI1" s="163"/>
      <c r="AJ1" s="163"/>
      <c r="AK1" s="163"/>
      <c r="AL1" s="163"/>
      <c r="AM1" s="163"/>
      <c r="AN1" s="163"/>
      <c r="AO1" s="163"/>
      <c r="AP1" s="163"/>
      <c r="AQ1" s="163"/>
      <c r="AR1" s="163"/>
      <c r="AS1" s="187"/>
      <c r="AT1" s="187"/>
      <c r="AU1" s="187"/>
      <c r="AV1" s="187"/>
    </row>
    <row r="2" spans="1:48" ht="12.9" customHeight="1" x14ac:dyDescent="0.4">
      <c r="A2" s="163"/>
      <c r="B2" s="245" t="s">
        <v>41</v>
      </c>
      <c r="C2" s="245"/>
      <c r="D2" s="245"/>
      <c r="E2" s="245"/>
      <c r="F2" s="245"/>
      <c r="G2" s="245"/>
      <c r="H2" s="245"/>
      <c r="I2" s="245"/>
      <c r="J2" s="245"/>
      <c r="K2" s="245"/>
      <c r="L2" s="245"/>
      <c r="M2" s="245"/>
      <c r="N2" s="245"/>
      <c r="O2" s="245"/>
      <c r="P2" s="245"/>
      <c r="Q2" s="245"/>
      <c r="R2" s="245"/>
      <c r="S2" s="245"/>
      <c r="T2" s="245"/>
      <c r="U2" s="245"/>
      <c r="V2" s="245"/>
      <c r="W2" s="245"/>
      <c r="X2" s="245"/>
      <c r="Y2" s="245"/>
      <c r="Z2" s="245"/>
      <c r="AA2" s="245"/>
      <c r="AB2" s="245"/>
      <c r="AC2" s="245"/>
      <c r="AD2" s="245"/>
      <c r="AE2" s="245"/>
      <c r="AF2" s="245"/>
      <c r="AG2" s="245"/>
      <c r="AH2" s="245"/>
      <c r="AI2" s="245"/>
      <c r="AJ2" s="245"/>
      <c r="AK2" s="245"/>
      <c r="AL2" s="245"/>
      <c r="AM2" s="245"/>
      <c r="AN2" s="245"/>
      <c r="AO2" s="245"/>
      <c r="AP2" s="245"/>
      <c r="AQ2" s="245"/>
      <c r="AR2" s="245"/>
      <c r="AS2" s="188"/>
      <c r="AT2" s="188"/>
      <c r="AU2" s="188"/>
      <c r="AV2" s="188"/>
    </row>
    <row r="3" spans="1:48" ht="12.9" customHeight="1" thickBot="1" x14ac:dyDescent="0.45">
      <c r="A3" s="163"/>
      <c r="B3" s="164" t="s">
        <v>3</v>
      </c>
      <c r="C3" s="166">
        <f>CARÁTULA!$C$15</f>
        <v>0</v>
      </c>
      <c r="D3" s="167"/>
      <c r="E3" s="167"/>
      <c r="F3" s="167"/>
      <c r="G3" s="168"/>
      <c r="H3" s="168"/>
      <c r="I3" s="168"/>
      <c r="J3" s="168"/>
      <c r="K3" s="168"/>
      <c r="L3" s="168"/>
      <c r="M3" s="169"/>
      <c r="N3" s="169"/>
      <c r="O3" s="169" t="s">
        <v>8</v>
      </c>
      <c r="P3" s="170"/>
      <c r="Q3" s="170"/>
      <c r="R3" s="170"/>
      <c r="S3" s="171">
        <f>CARÁTULA!$C$25</f>
        <v>0</v>
      </c>
      <c r="T3" s="171"/>
      <c r="U3" s="171"/>
      <c r="V3" s="171"/>
      <c r="W3" s="171"/>
      <c r="X3" s="171"/>
      <c r="Y3" s="171"/>
      <c r="Z3" s="171"/>
      <c r="AA3" s="171"/>
      <c r="AB3" s="171"/>
      <c r="AC3" s="246" t="s">
        <v>34</v>
      </c>
      <c r="AD3" s="246"/>
      <c r="AE3" s="246"/>
      <c r="AF3" s="246"/>
      <c r="AG3" s="246"/>
      <c r="AH3" s="246"/>
      <c r="AI3" s="233">
        <f>CARÁTULA!$H$14</f>
        <v>44593</v>
      </c>
      <c r="AJ3" s="234"/>
      <c r="AK3" s="234"/>
      <c r="AL3" s="234"/>
      <c r="AM3" s="234"/>
      <c r="AN3" s="238" t="s">
        <v>40</v>
      </c>
      <c r="AO3" s="238"/>
      <c r="AP3" s="238"/>
      <c r="AQ3" s="238"/>
      <c r="AR3" s="238"/>
      <c r="AS3" s="187"/>
      <c r="AT3" s="187"/>
      <c r="AU3" s="187"/>
      <c r="AV3" s="187"/>
    </row>
    <row r="4" spans="1:48" ht="12.9" customHeight="1" x14ac:dyDescent="0.4">
      <c r="A4" s="163"/>
      <c r="B4" s="164" t="s">
        <v>6</v>
      </c>
      <c r="C4" s="166">
        <f>CARÁTULA!$C$21</f>
        <v>0</v>
      </c>
      <c r="D4" s="167"/>
      <c r="E4" s="167"/>
      <c r="F4" s="167"/>
      <c r="G4" s="168"/>
      <c r="H4" s="168"/>
      <c r="I4" s="168"/>
      <c r="J4" s="168"/>
      <c r="K4" s="168"/>
      <c r="L4" s="168"/>
      <c r="M4" s="169"/>
      <c r="N4" s="169"/>
      <c r="O4" s="169" t="s">
        <v>26</v>
      </c>
      <c r="P4" s="170"/>
      <c r="Q4" s="172"/>
      <c r="R4" s="172"/>
      <c r="S4" s="166">
        <f>CARÁTULA!$C$19</f>
        <v>0</v>
      </c>
      <c r="T4" s="167"/>
      <c r="U4" s="167"/>
      <c r="V4" s="167"/>
      <c r="W4" s="167"/>
      <c r="X4" s="167"/>
      <c r="Y4" s="167"/>
      <c r="Z4" s="167"/>
      <c r="AA4" s="167"/>
      <c r="AB4" s="167"/>
      <c r="AC4" s="246" t="s">
        <v>35</v>
      </c>
      <c r="AD4" s="246"/>
      <c r="AE4" s="246"/>
      <c r="AF4" s="246"/>
      <c r="AG4" s="246"/>
      <c r="AH4" s="246"/>
      <c r="AI4" s="233">
        <f>CARÁTULA!$J$14</f>
        <v>44687</v>
      </c>
      <c r="AJ4" s="234"/>
      <c r="AK4" s="234"/>
      <c r="AL4" s="234"/>
      <c r="AM4" s="234"/>
      <c r="AN4" s="224">
        <f ca="1">AI4-AI5</f>
        <v>91</v>
      </c>
      <c r="AO4" s="225"/>
      <c r="AP4" s="225"/>
      <c r="AQ4" s="225"/>
      <c r="AR4" s="226"/>
    </row>
    <row r="5" spans="1:48" ht="12.9" customHeight="1" thickBot="1" x14ac:dyDescent="0.45">
      <c r="A5" s="163"/>
      <c r="B5" s="164" t="s">
        <v>17</v>
      </c>
      <c r="C5" s="166">
        <f>CARÁTULA!$C$23</f>
        <v>0</v>
      </c>
      <c r="D5" s="167"/>
      <c r="E5" s="167"/>
      <c r="F5" s="167"/>
      <c r="G5" s="173"/>
      <c r="H5" s="173"/>
      <c r="I5" s="173"/>
      <c r="J5" s="173"/>
      <c r="K5" s="173"/>
      <c r="L5" s="173"/>
      <c r="M5" s="164"/>
      <c r="N5" s="164"/>
      <c r="O5" s="169" t="s">
        <v>19</v>
      </c>
      <c r="P5" s="174"/>
      <c r="Q5" s="174"/>
      <c r="R5" s="174"/>
      <c r="S5" s="239">
        <f ca="1">TODAY()</f>
        <v>44596</v>
      </c>
      <c r="T5" s="239"/>
      <c r="U5" s="239"/>
      <c r="V5" s="239"/>
      <c r="W5" s="239"/>
      <c r="X5" s="239"/>
      <c r="Y5" s="239"/>
      <c r="Z5" s="239"/>
      <c r="AA5" s="239"/>
      <c r="AB5" s="167"/>
      <c r="AC5" s="247" t="s">
        <v>36</v>
      </c>
      <c r="AD5" s="247"/>
      <c r="AE5" s="247"/>
      <c r="AF5" s="247"/>
      <c r="AG5" s="247"/>
      <c r="AH5" s="247"/>
      <c r="AI5" s="240">
        <f ca="1">TODAY()</f>
        <v>44596</v>
      </c>
      <c r="AJ5" s="241"/>
      <c r="AK5" s="241"/>
      <c r="AL5" s="241"/>
      <c r="AM5" s="241"/>
      <c r="AN5" s="227"/>
      <c r="AO5" s="228"/>
      <c r="AP5" s="228"/>
      <c r="AQ5" s="228"/>
      <c r="AR5" s="229"/>
    </row>
    <row r="6" spans="1:48" ht="12.9" customHeight="1" x14ac:dyDescent="0.4">
      <c r="A6" s="163"/>
      <c r="B6" s="164"/>
      <c r="C6" s="252" t="s">
        <v>117</v>
      </c>
      <c r="D6" s="253"/>
      <c r="E6" s="253"/>
      <c r="F6" s="253"/>
      <c r="G6" s="253"/>
      <c r="H6" s="253"/>
      <c r="I6" s="253"/>
      <c r="J6" s="253"/>
      <c r="K6" s="253"/>
      <c r="L6" s="253"/>
      <c r="M6" s="253"/>
      <c r="N6" s="253"/>
      <c r="O6" s="253"/>
      <c r="P6" s="253"/>
      <c r="Q6" s="253"/>
      <c r="R6" s="253"/>
      <c r="S6" s="253"/>
      <c r="T6" s="253"/>
      <c r="U6" s="253"/>
      <c r="V6" s="253"/>
      <c r="W6" s="253"/>
      <c r="X6" s="253"/>
      <c r="Y6" s="253"/>
      <c r="Z6" s="253"/>
      <c r="AA6" s="254"/>
      <c r="AB6" s="244" t="s">
        <v>124</v>
      </c>
      <c r="AC6" s="244"/>
      <c r="AD6" s="244"/>
      <c r="AE6" s="244"/>
      <c r="AF6" s="175"/>
      <c r="AG6" s="176"/>
      <c r="AH6" s="176"/>
      <c r="AI6" s="177"/>
      <c r="AJ6" s="178"/>
      <c r="AK6" s="178"/>
      <c r="AL6" s="178"/>
      <c r="AM6" s="178"/>
      <c r="AN6" s="179"/>
      <c r="AO6" s="179"/>
      <c r="AP6" s="179"/>
      <c r="AQ6" s="179"/>
      <c r="AR6" s="179"/>
    </row>
    <row r="7" spans="1:48" ht="12" customHeight="1" x14ac:dyDescent="0.4">
      <c r="A7" s="163"/>
      <c r="B7" s="165"/>
      <c r="C7" s="248" t="s">
        <v>118</v>
      </c>
      <c r="D7" s="250" t="s">
        <v>119</v>
      </c>
      <c r="E7" s="251"/>
      <c r="F7" s="251"/>
      <c r="G7" s="251"/>
      <c r="H7" s="251"/>
      <c r="I7" s="251"/>
      <c r="J7" s="251"/>
      <c r="K7" s="251"/>
      <c r="L7" s="251"/>
      <c r="M7" s="251"/>
      <c r="N7" s="251"/>
      <c r="O7" s="243" t="s">
        <v>42</v>
      </c>
      <c r="P7" s="250" t="s">
        <v>120</v>
      </c>
      <c r="Q7" s="251"/>
      <c r="R7" s="251"/>
      <c r="S7" s="251"/>
      <c r="T7" s="251"/>
      <c r="U7" s="251"/>
      <c r="V7" s="251"/>
      <c r="W7" s="251"/>
      <c r="X7" s="251"/>
      <c r="Y7" s="251"/>
      <c r="Z7" s="251"/>
      <c r="AA7" s="255" t="s">
        <v>121</v>
      </c>
      <c r="AB7" s="243" t="s">
        <v>42</v>
      </c>
      <c r="AC7" s="256" t="s">
        <v>122</v>
      </c>
      <c r="AD7" s="256" t="s">
        <v>123</v>
      </c>
      <c r="AE7" s="243" t="s">
        <v>42</v>
      </c>
      <c r="AF7" s="236" t="s">
        <v>81</v>
      </c>
      <c r="AG7" s="242" t="s">
        <v>43</v>
      </c>
      <c r="AH7" s="235" t="s">
        <v>44</v>
      </c>
      <c r="AI7" s="235"/>
      <c r="AJ7" s="235"/>
      <c r="AK7" s="235"/>
      <c r="AL7" s="235"/>
      <c r="AM7" s="235"/>
      <c r="AN7" s="180"/>
      <c r="AO7" s="181"/>
      <c r="AP7" s="181"/>
      <c r="AQ7" s="181"/>
      <c r="AR7" s="182"/>
    </row>
    <row r="8" spans="1:48" ht="68.099999999999994" customHeight="1" x14ac:dyDescent="0.4">
      <c r="A8" s="16" t="s">
        <v>27</v>
      </c>
      <c r="B8" s="38" t="s">
        <v>28</v>
      </c>
      <c r="C8" s="249"/>
      <c r="D8" s="40"/>
      <c r="E8" s="40"/>
      <c r="F8" s="40"/>
      <c r="G8" s="40"/>
      <c r="H8" s="40"/>
      <c r="I8" s="40"/>
      <c r="J8" s="40"/>
      <c r="K8" s="40"/>
      <c r="L8" s="40"/>
      <c r="M8" s="40"/>
      <c r="N8" s="41"/>
      <c r="O8" s="243"/>
      <c r="P8" s="50"/>
      <c r="Q8" s="40"/>
      <c r="R8" s="40"/>
      <c r="S8" s="40"/>
      <c r="T8" s="40"/>
      <c r="U8" s="40"/>
      <c r="V8" s="40"/>
      <c r="W8" s="40"/>
      <c r="X8" s="40"/>
      <c r="Y8" s="40"/>
      <c r="Z8" s="40"/>
      <c r="AA8" s="255"/>
      <c r="AB8" s="243"/>
      <c r="AC8" s="256"/>
      <c r="AD8" s="256"/>
      <c r="AE8" s="243"/>
      <c r="AF8" s="237"/>
      <c r="AG8" s="242"/>
      <c r="AH8" s="235"/>
      <c r="AI8" s="235"/>
      <c r="AJ8" s="235"/>
      <c r="AK8" s="235"/>
      <c r="AL8" s="235"/>
      <c r="AM8" s="235"/>
      <c r="AN8" s="183"/>
      <c r="AO8" s="183"/>
      <c r="AP8" s="183"/>
      <c r="AQ8" s="183"/>
      <c r="AR8" s="184"/>
    </row>
    <row r="9" spans="1:48" ht="12" customHeight="1" x14ac:dyDescent="0.4">
      <c r="A9" s="37">
        <v>1</v>
      </c>
      <c r="B9" s="162">
        <f>'C. FILIACION'!B8</f>
        <v>0</v>
      </c>
      <c r="C9" s="160">
        <v>10</v>
      </c>
      <c r="D9" s="160">
        <v>35</v>
      </c>
      <c r="E9" s="160">
        <v>35</v>
      </c>
      <c r="F9" s="160">
        <v>35</v>
      </c>
      <c r="G9" s="160">
        <v>35</v>
      </c>
      <c r="H9" s="160">
        <v>35</v>
      </c>
      <c r="I9" s="160">
        <v>35</v>
      </c>
      <c r="J9" s="160">
        <v>35</v>
      </c>
      <c r="K9" s="160">
        <v>35</v>
      </c>
      <c r="L9" s="160">
        <v>35</v>
      </c>
      <c r="M9" s="160">
        <v>35</v>
      </c>
      <c r="N9" s="160">
        <v>35</v>
      </c>
      <c r="O9" s="161">
        <f t="shared" ref="O9:O44" si="0">IFERROR(ROUND(AVERAGE(D9:N9),0),"")</f>
        <v>35</v>
      </c>
      <c r="P9" s="160">
        <v>35</v>
      </c>
      <c r="Q9" s="160">
        <v>35</v>
      </c>
      <c r="R9" s="160">
        <v>35</v>
      </c>
      <c r="S9" s="160">
        <v>35</v>
      </c>
      <c r="T9" s="160">
        <v>35</v>
      </c>
      <c r="U9" s="160">
        <v>35</v>
      </c>
      <c r="V9" s="160">
        <v>35</v>
      </c>
      <c r="W9" s="160">
        <v>35</v>
      </c>
      <c r="X9" s="160">
        <v>35</v>
      </c>
      <c r="Y9" s="160">
        <v>35</v>
      </c>
      <c r="Z9" s="160">
        <v>35</v>
      </c>
      <c r="AA9" s="160">
        <v>10</v>
      </c>
      <c r="AB9" s="161">
        <f t="shared" ref="AB9:AB44" si="1">IFERROR(ROUND(AVERAGE(P9:Z9),0),"")</f>
        <v>35</v>
      </c>
      <c r="AC9" s="160">
        <v>5</v>
      </c>
      <c r="AD9" s="160">
        <v>5</v>
      </c>
      <c r="AE9" s="161">
        <f>IFERROR((SUM(AC9,AD9)),"")</f>
        <v>10</v>
      </c>
      <c r="AF9" s="137" t="str">
        <f>IF(AG9&lt;51,"ED",IF(AG9&lt;67,"DA",IF(AG9&lt;85,"DO","DP")))</f>
        <v>DP</v>
      </c>
      <c r="AG9" s="161">
        <f t="shared" ref="AG9:AG44" si="2">IFERROR((SUM(C9,O9,AA9,AB9,AE9)),"")</f>
        <v>100</v>
      </c>
      <c r="AH9" s="230" t="str">
        <f>IF(AG9="","",(IF(AND(AG9&gt;=1,AG9&lt;=50.499),"REPROBADO",IF(AND(AG9&gt;=50.5,AG9&lt;=100),"APROBADO"))))</f>
        <v>APROBADO</v>
      </c>
      <c r="AI9" s="230"/>
      <c r="AJ9" s="230"/>
      <c r="AK9" s="230"/>
      <c r="AL9" s="230"/>
      <c r="AM9" s="230"/>
      <c r="AN9" s="138" t="s">
        <v>82</v>
      </c>
      <c r="AO9" s="232">
        <f>COUNTIF(AF9:AF44,"ED")</f>
        <v>35</v>
      </c>
      <c r="AP9" s="232"/>
      <c r="AQ9" s="185"/>
      <c r="AR9" s="186"/>
    </row>
    <row r="10" spans="1:48" ht="12" customHeight="1" x14ac:dyDescent="0.4">
      <c r="A10" s="37">
        <v>2</v>
      </c>
      <c r="B10" s="162">
        <f>'C. FILIACION'!B9</f>
        <v>0</v>
      </c>
      <c r="C10" s="160"/>
      <c r="D10" s="160"/>
      <c r="E10" s="160"/>
      <c r="F10" s="160"/>
      <c r="G10" s="160"/>
      <c r="H10" s="160"/>
      <c r="I10" s="160"/>
      <c r="J10" s="160"/>
      <c r="K10" s="160"/>
      <c r="L10" s="160"/>
      <c r="M10" s="160"/>
      <c r="N10" s="160"/>
      <c r="O10" s="161" t="str">
        <f t="shared" si="0"/>
        <v/>
      </c>
      <c r="P10" s="160"/>
      <c r="Q10" s="160"/>
      <c r="R10" s="160"/>
      <c r="S10" s="160"/>
      <c r="T10" s="160"/>
      <c r="U10" s="160"/>
      <c r="V10" s="160"/>
      <c r="W10" s="160"/>
      <c r="X10" s="160"/>
      <c r="Y10" s="160"/>
      <c r="Z10" s="160"/>
      <c r="AA10" s="160"/>
      <c r="AB10" s="161" t="str">
        <f t="shared" si="1"/>
        <v/>
      </c>
      <c r="AC10" s="160"/>
      <c r="AD10" s="160"/>
      <c r="AE10" s="161">
        <f t="shared" ref="AE10:AE44" si="3">IFERROR((SUM(AC10,AD10)),"")</f>
        <v>0</v>
      </c>
      <c r="AF10" s="137" t="str">
        <f>IF(AG10&lt;51,"ED",IF(AG10&lt;67,"DA",IF(AG10&lt;85,"DO","DP")))</f>
        <v>ED</v>
      </c>
      <c r="AG10" s="161">
        <f t="shared" si="2"/>
        <v>0</v>
      </c>
      <c r="AH10" s="230" t="b">
        <f t="shared" ref="AH10:AH44" si="4">IF(AG10="","",(IF(AND(AG10&gt;=1,AG10&lt;=50.499),"REPROBADO",IF(AND(AG10&gt;=50.5,AG10&lt;=100),"APROBADO"))))</f>
        <v>0</v>
      </c>
      <c r="AI10" s="230"/>
      <c r="AJ10" s="230"/>
      <c r="AK10" s="230"/>
      <c r="AL10" s="230"/>
      <c r="AM10" s="230"/>
      <c r="AN10" s="17" t="s">
        <v>83</v>
      </c>
      <c r="AO10" s="231">
        <f>COUNTIF(AF9:AF44,"DA")</f>
        <v>0</v>
      </c>
      <c r="AP10" s="231"/>
      <c r="AQ10" s="185"/>
      <c r="AR10" s="186"/>
    </row>
    <row r="11" spans="1:48" ht="12" customHeight="1" x14ac:dyDescent="0.4">
      <c r="A11" s="37">
        <v>3</v>
      </c>
      <c r="B11" s="162">
        <f>'C. FILIACION'!B10</f>
        <v>0</v>
      </c>
      <c r="C11" s="160"/>
      <c r="D11" s="160"/>
      <c r="E11" s="160"/>
      <c r="F11" s="160"/>
      <c r="G11" s="160"/>
      <c r="H11" s="160"/>
      <c r="I11" s="160"/>
      <c r="J11" s="160"/>
      <c r="K11" s="160"/>
      <c r="L11" s="160"/>
      <c r="M11" s="160"/>
      <c r="N11" s="160"/>
      <c r="O11" s="161" t="str">
        <f t="shared" si="0"/>
        <v/>
      </c>
      <c r="P11" s="160"/>
      <c r="Q11" s="160"/>
      <c r="R11" s="160"/>
      <c r="S11" s="160"/>
      <c r="T11" s="160"/>
      <c r="U11" s="160"/>
      <c r="V11" s="160"/>
      <c r="W11" s="160"/>
      <c r="X11" s="160"/>
      <c r="Y11" s="160"/>
      <c r="Z11" s="160"/>
      <c r="AA11" s="160"/>
      <c r="AB11" s="161" t="str">
        <f t="shared" si="1"/>
        <v/>
      </c>
      <c r="AC11" s="160"/>
      <c r="AD11" s="160"/>
      <c r="AE11" s="161">
        <f t="shared" si="3"/>
        <v>0</v>
      </c>
      <c r="AF11" s="137" t="str">
        <f t="shared" ref="AF11:AF44" si="5">IF(AG11&lt;51,"ED",IF(AG11&lt;67,"DA",IF(AG11&lt;85,"DO","DP")))</f>
        <v>ED</v>
      </c>
      <c r="AG11" s="161">
        <f t="shared" si="2"/>
        <v>0</v>
      </c>
      <c r="AH11" s="230" t="b">
        <f t="shared" si="4"/>
        <v>0</v>
      </c>
      <c r="AI11" s="230"/>
      <c r="AJ11" s="230"/>
      <c r="AK11" s="230"/>
      <c r="AL11" s="230"/>
      <c r="AM11" s="230"/>
      <c r="AN11" s="17" t="s">
        <v>84</v>
      </c>
      <c r="AO11" s="231">
        <f>COUNTIF(AF9:AF44,"DO")</f>
        <v>0</v>
      </c>
      <c r="AP11" s="231"/>
      <c r="AQ11" s="185"/>
      <c r="AR11" s="186"/>
    </row>
    <row r="12" spans="1:48" ht="12" customHeight="1" x14ac:dyDescent="0.4">
      <c r="A12" s="37">
        <v>4</v>
      </c>
      <c r="B12" s="162">
        <f>'C. FILIACION'!B11</f>
        <v>0</v>
      </c>
      <c r="C12" s="160"/>
      <c r="D12" s="160"/>
      <c r="E12" s="160"/>
      <c r="F12" s="160"/>
      <c r="G12" s="160"/>
      <c r="H12" s="160"/>
      <c r="I12" s="160"/>
      <c r="J12" s="160"/>
      <c r="K12" s="160"/>
      <c r="L12" s="160"/>
      <c r="M12" s="160"/>
      <c r="N12" s="160"/>
      <c r="O12" s="161" t="str">
        <f t="shared" si="0"/>
        <v/>
      </c>
      <c r="P12" s="160"/>
      <c r="Q12" s="160"/>
      <c r="R12" s="160"/>
      <c r="S12" s="160"/>
      <c r="T12" s="160"/>
      <c r="U12" s="160"/>
      <c r="V12" s="160"/>
      <c r="W12" s="160"/>
      <c r="X12" s="160"/>
      <c r="Y12" s="160"/>
      <c r="Z12" s="160"/>
      <c r="AA12" s="160"/>
      <c r="AB12" s="161" t="str">
        <f t="shared" si="1"/>
        <v/>
      </c>
      <c r="AC12" s="160"/>
      <c r="AD12" s="160"/>
      <c r="AE12" s="161">
        <f t="shared" si="3"/>
        <v>0</v>
      </c>
      <c r="AF12" s="137" t="str">
        <f t="shared" si="5"/>
        <v>ED</v>
      </c>
      <c r="AG12" s="161">
        <f t="shared" si="2"/>
        <v>0</v>
      </c>
      <c r="AH12" s="230" t="b">
        <f t="shared" si="4"/>
        <v>0</v>
      </c>
      <c r="AI12" s="230"/>
      <c r="AJ12" s="230"/>
      <c r="AK12" s="230"/>
      <c r="AL12" s="230"/>
      <c r="AM12" s="230"/>
      <c r="AN12" s="17" t="s">
        <v>85</v>
      </c>
      <c r="AO12" s="231">
        <f>COUNTIF(AF9:AF44,"DP")</f>
        <v>1</v>
      </c>
      <c r="AP12" s="231"/>
      <c r="AQ12" s="185"/>
      <c r="AR12" s="186"/>
    </row>
    <row r="13" spans="1:48" ht="12" customHeight="1" x14ac:dyDescent="0.4">
      <c r="A13" s="37">
        <v>5</v>
      </c>
      <c r="B13" s="162">
        <f>'C. FILIACION'!B12</f>
        <v>0</v>
      </c>
      <c r="C13" s="160"/>
      <c r="D13" s="160"/>
      <c r="E13" s="160"/>
      <c r="F13" s="160"/>
      <c r="G13" s="160"/>
      <c r="H13" s="160"/>
      <c r="I13" s="160"/>
      <c r="J13" s="160"/>
      <c r="K13" s="160"/>
      <c r="L13" s="160"/>
      <c r="M13" s="160"/>
      <c r="N13" s="160"/>
      <c r="O13" s="161" t="str">
        <f t="shared" si="0"/>
        <v/>
      </c>
      <c r="P13" s="160"/>
      <c r="Q13" s="160"/>
      <c r="R13" s="160"/>
      <c r="S13" s="160"/>
      <c r="T13" s="160"/>
      <c r="U13" s="160"/>
      <c r="V13" s="160"/>
      <c r="W13" s="160"/>
      <c r="X13" s="160"/>
      <c r="Y13" s="160"/>
      <c r="Z13" s="160"/>
      <c r="AA13" s="160"/>
      <c r="AB13" s="161" t="str">
        <f t="shared" si="1"/>
        <v/>
      </c>
      <c r="AC13" s="160"/>
      <c r="AD13" s="160"/>
      <c r="AE13" s="161">
        <f t="shared" si="3"/>
        <v>0</v>
      </c>
      <c r="AF13" s="137" t="str">
        <f t="shared" si="5"/>
        <v>ED</v>
      </c>
      <c r="AG13" s="161">
        <f t="shared" si="2"/>
        <v>0</v>
      </c>
      <c r="AH13" s="230" t="b">
        <f>IF(AG13="","",(IF(AND(AG13&gt;=1,AG13&lt;=50.499),"REPROBADO",IF(AND(AG13&gt;=50.5,AG13&lt;=100),"APROBADO"))))</f>
        <v>0</v>
      </c>
      <c r="AI13" s="230"/>
      <c r="AJ13" s="230"/>
      <c r="AK13" s="230"/>
      <c r="AL13" s="230"/>
      <c r="AM13" s="230"/>
      <c r="AN13" s="185"/>
      <c r="AO13" s="185"/>
      <c r="AP13" s="185"/>
      <c r="AQ13" s="185"/>
      <c r="AR13" s="186"/>
    </row>
    <row r="14" spans="1:48" ht="12" customHeight="1" x14ac:dyDescent="0.4">
      <c r="A14" s="37">
        <v>6</v>
      </c>
      <c r="B14" s="162">
        <f>'C. FILIACION'!B13</f>
        <v>0</v>
      </c>
      <c r="C14" s="160"/>
      <c r="D14" s="160"/>
      <c r="E14" s="160"/>
      <c r="F14" s="160"/>
      <c r="G14" s="160"/>
      <c r="H14" s="160"/>
      <c r="I14" s="160"/>
      <c r="J14" s="160"/>
      <c r="K14" s="160"/>
      <c r="L14" s="160"/>
      <c r="M14" s="160"/>
      <c r="N14" s="160"/>
      <c r="O14" s="161" t="str">
        <f t="shared" si="0"/>
        <v/>
      </c>
      <c r="P14" s="160"/>
      <c r="Q14" s="160"/>
      <c r="R14" s="160"/>
      <c r="S14" s="160"/>
      <c r="T14" s="160"/>
      <c r="U14" s="160"/>
      <c r="V14" s="160"/>
      <c r="W14" s="160"/>
      <c r="X14" s="160"/>
      <c r="Y14" s="160"/>
      <c r="Z14" s="160"/>
      <c r="AA14" s="160"/>
      <c r="AB14" s="161" t="str">
        <f t="shared" si="1"/>
        <v/>
      </c>
      <c r="AC14" s="160"/>
      <c r="AD14" s="160"/>
      <c r="AE14" s="161">
        <f t="shared" si="3"/>
        <v>0</v>
      </c>
      <c r="AF14" s="137" t="str">
        <f t="shared" si="5"/>
        <v>ED</v>
      </c>
      <c r="AG14" s="161">
        <f t="shared" si="2"/>
        <v>0</v>
      </c>
      <c r="AH14" s="230" t="b">
        <f t="shared" si="4"/>
        <v>0</v>
      </c>
      <c r="AI14" s="230"/>
      <c r="AJ14" s="230"/>
      <c r="AK14" s="230"/>
      <c r="AL14" s="230"/>
      <c r="AM14" s="230"/>
      <c r="AN14" s="185"/>
      <c r="AO14" s="185"/>
      <c r="AP14" s="185"/>
      <c r="AQ14" s="185"/>
      <c r="AR14" s="186"/>
    </row>
    <row r="15" spans="1:48" ht="12" customHeight="1" x14ac:dyDescent="0.4">
      <c r="A15" s="37">
        <v>7</v>
      </c>
      <c r="B15" s="162">
        <f>'C. FILIACION'!B14</f>
        <v>0</v>
      </c>
      <c r="C15" s="160"/>
      <c r="D15" s="160"/>
      <c r="E15" s="160"/>
      <c r="F15" s="160"/>
      <c r="G15" s="160"/>
      <c r="H15" s="160"/>
      <c r="I15" s="160"/>
      <c r="J15" s="160"/>
      <c r="K15" s="160"/>
      <c r="L15" s="160"/>
      <c r="M15" s="160"/>
      <c r="N15" s="160"/>
      <c r="O15" s="161" t="str">
        <f t="shared" si="0"/>
        <v/>
      </c>
      <c r="P15" s="160"/>
      <c r="Q15" s="160"/>
      <c r="R15" s="160"/>
      <c r="S15" s="160"/>
      <c r="T15" s="160"/>
      <c r="U15" s="160"/>
      <c r="V15" s="160"/>
      <c r="W15" s="160"/>
      <c r="X15" s="160"/>
      <c r="Y15" s="160"/>
      <c r="Z15" s="160"/>
      <c r="AA15" s="160"/>
      <c r="AB15" s="161" t="str">
        <f t="shared" si="1"/>
        <v/>
      </c>
      <c r="AC15" s="160"/>
      <c r="AD15" s="160"/>
      <c r="AE15" s="161">
        <f t="shared" si="3"/>
        <v>0</v>
      </c>
      <c r="AF15" s="137" t="str">
        <f t="shared" si="5"/>
        <v>ED</v>
      </c>
      <c r="AG15" s="161">
        <f t="shared" si="2"/>
        <v>0</v>
      </c>
      <c r="AH15" s="230" t="b">
        <f>IF(AG15="","",(IF(AND(AG15&gt;=1,AG15&lt;=50.499),"REPROBADO",IF(AND(AG15&gt;=50.5,AG15&lt;=100),"APROBADO"))))</f>
        <v>0</v>
      </c>
      <c r="AI15" s="230"/>
      <c r="AJ15" s="230"/>
      <c r="AK15" s="230"/>
      <c r="AL15" s="230"/>
      <c r="AM15" s="230"/>
      <c r="AN15" s="185"/>
      <c r="AO15" s="185"/>
      <c r="AP15" s="185"/>
      <c r="AQ15" s="185"/>
      <c r="AR15" s="186"/>
    </row>
    <row r="16" spans="1:48" ht="12" customHeight="1" x14ac:dyDescent="0.4">
      <c r="A16" s="37">
        <v>8</v>
      </c>
      <c r="B16" s="162">
        <f>'C. FILIACION'!B15</f>
        <v>0</v>
      </c>
      <c r="C16" s="160"/>
      <c r="D16" s="160"/>
      <c r="E16" s="160"/>
      <c r="F16" s="160"/>
      <c r="G16" s="160"/>
      <c r="H16" s="160"/>
      <c r="I16" s="160"/>
      <c r="J16" s="160"/>
      <c r="K16" s="160"/>
      <c r="L16" s="160"/>
      <c r="M16" s="160"/>
      <c r="N16" s="160"/>
      <c r="O16" s="161" t="str">
        <f t="shared" si="0"/>
        <v/>
      </c>
      <c r="P16" s="160"/>
      <c r="Q16" s="160"/>
      <c r="R16" s="160"/>
      <c r="S16" s="160"/>
      <c r="T16" s="160"/>
      <c r="U16" s="160"/>
      <c r="V16" s="160"/>
      <c r="W16" s="160"/>
      <c r="X16" s="160"/>
      <c r="Y16" s="160"/>
      <c r="Z16" s="160"/>
      <c r="AA16" s="160"/>
      <c r="AB16" s="161" t="str">
        <f t="shared" si="1"/>
        <v/>
      </c>
      <c r="AC16" s="160"/>
      <c r="AD16" s="160"/>
      <c r="AE16" s="161">
        <f t="shared" si="3"/>
        <v>0</v>
      </c>
      <c r="AF16" s="137" t="str">
        <f t="shared" si="5"/>
        <v>ED</v>
      </c>
      <c r="AG16" s="161">
        <f t="shared" si="2"/>
        <v>0</v>
      </c>
      <c r="AH16" s="230" t="b">
        <f t="shared" si="4"/>
        <v>0</v>
      </c>
      <c r="AI16" s="230"/>
      <c r="AJ16" s="230"/>
      <c r="AK16" s="230"/>
      <c r="AL16" s="230"/>
      <c r="AM16" s="230"/>
      <c r="AN16" s="185"/>
      <c r="AO16" s="185"/>
      <c r="AP16" s="185"/>
      <c r="AQ16" s="185"/>
      <c r="AR16" s="186"/>
    </row>
    <row r="17" spans="1:44" ht="12" customHeight="1" x14ac:dyDescent="0.4">
      <c r="A17" s="37">
        <v>9</v>
      </c>
      <c r="B17" s="162">
        <f>'C. FILIACION'!B16</f>
        <v>0</v>
      </c>
      <c r="C17" s="160"/>
      <c r="D17" s="160"/>
      <c r="E17" s="160"/>
      <c r="F17" s="160"/>
      <c r="G17" s="160"/>
      <c r="H17" s="160"/>
      <c r="I17" s="160"/>
      <c r="J17" s="160"/>
      <c r="K17" s="160"/>
      <c r="L17" s="160"/>
      <c r="M17" s="160"/>
      <c r="N17" s="160"/>
      <c r="O17" s="161" t="str">
        <f t="shared" si="0"/>
        <v/>
      </c>
      <c r="P17" s="160"/>
      <c r="Q17" s="160"/>
      <c r="R17" s="160"/>
      <c r="S17" s="160"/>
      <c r="T17" s="160"/>
      <c r="U17" s="160"/>
      <c r="V17" s="160"/>
      <c r="W17" s="160"/>
      <c r="X17" s="160"/>
      <c r="Y17" s="160"/>
      <c r="Z17" s="160"/>
      <c r="AA17" s="160"/>
      <c r="AB17" s="161" t="str">
        <f t="shared" si="1"/>
        <v/>
      </c>
      <c r="AC17" s="160"/>
      <c r="AD17" s="160"/>
      <c r="AE17" s="161">
        <f t="shared" si="3"/>
        <v>0</v>
      </c>
      <c r="AF17" s="137" t="str">
        <f t="shared" si="5"/>
        <v>ED</v>
      </c>
      <c r="AG17" s="161">
        <f t="shared" si="2"/>
        <v>0</v>
      </c>
      <c r="AH17" s="230" t="b">
        <f t="shared" si="4"/>
        <v>0</v>
      </c>
      <c r="AI17" s="230"/>
      <c r="AJ17" s="230"/>
      <c r="AK17" s="230"/>
      <c r="AL17" s="230"/>
      <c r="AM17" s="230"/>
      <c r="AN17" s="185"/>
      <c r="AO17" s="185"/>
      <c r="AP17" s="185"/>
      <c r="AQ17" s="185"/>
      <c r="AR17" s="186"/>
    </row>
    <row r="18" spans="1:44" ht="12" customHeight="1" x14ac:dyDescent="0.4">
      <c r="A18" s="37">
        <v>10</v>
      </c>
      <c r="B18" s="162">
        <f>'C. FILIACION'!B17</f>
        <v>0</v>
      </c>
      <c r="C18" s="160"/>
      <c r="D18" s="160"/>
      <c r="E18" s="160"/>
      <c r="F18" s="160"/>
      <c r="G18" s="160"/>
      <c r="H18" s="160"/>
      <c r="I18" s="160"/>
      <c r="J18" s="160"/>
      <c r="K18" s="160"/>
      <c r="L18" s="160"/>
      <c r="M18" s="160"/>
      <c r="N18" s="160"/>
      <c r="O18" s="161" t="str">
        <f t="shared" si="0"/>
        <v/>
      </c>
      <c r="P18" s="160"/>
      <c r="Q18" s="160"/>
      <c r="R18" s="160"/>
      <c r="S18" s="160"/>
      <c r="T18" s="160"/>
      <c r="U18" s="160"/>
      <c r="V18" s="160"/>
      <c r="W18" s="160"/>
      <c r="X18" s="160"/>
      <c r="Y18" s="160"/>
      <c r="Z18" s="160"/>
      <c r="AA18" s="160"/>
      <c r="AB18" s="161" t="str">
        <f t="shared" si="1"/>
        <v/>
      </c>
      <c r="AC18" s="160"/>
      <c r="AD18" s="160"/>
      <c r="AE18" s="161">
        <f t="shared" si="3"/>
        <v>0</v>
      </c>
      <c r="AF18" s="137" t="str">
        <f t="shared" si="5"/>
        <v>ED</v>
      </c>
      <c r="AG18" s="161">
        <f t="shared" si="2"/>
        <v>0</v>
      </c>
      <c r="AH18" s="230" t="b">
        <f t="shared" si="4"/>
        <v>0</v>
      </c>
      <c r="AI18" s="230"/>
      <c r="AJ18" s="230"/>
      <c r="AK18" s="230"/>
      <c r="AL18" s="230"/>
      <c r="AM18" s="230"/>
      <c r="AN18" s="185"/>
      <c r="AO18" s="185"/>
      <c r="AP18" s="185"/>
      <c r="AQ18" s="185"/>
      <c r="AR18" s="186"/>
    </row>
    <row r="19" spans="1:44" ht="12" customHeight="1" x14ac:dyDescent="0.4">
      <c r="A19" s="37">
        <v>11</v>
      </c>
      <c r="B19" s="162">
        <f>'C. FILIACION'!B18</f>
        <v>0</v>
      </c>
      <c r="C19" s="160"/>
      <c r="D19" s="160"/>
      <c r="E19" s="160"/>
      <c r="F19" s="160"/>
      <c r="G19" s="160"/>
      <c r="H19" s="160"/>
      <c r="I19" s="160"/>
      <c r="J19" s="160"/>
      <c r="K19" s="160"/>
      <c r="L19" s="160"/>
      <c r="M19" s="160"/>
      <c r="N19" s="160"/>
      <c r="O19" s="161" t="str">
        <f t="shared" si="0"/>
        <v/>
      </c>
      <c r="P19" s="160"/>
      <c r="Q19" s="160"/>
      <c r="R19" s="160"/>
      <c r="S19" s="160"/>
      <c r="T19" s="160"/>
      <c r="U19" s="160"/>
      <c r="V19" s="160"/>
      <c r="W19" s="160"/>
      <c r="X19" s="160"/>
      <c r="Y19" s="160"/>
      <c r="Z19" s="160"/>
      <c r="AA19" s="160"/>
      <c r="AB19" s="161" t="str">
        <f t="shared" si="1"/>
        <v/>
      </c>
      <c r="AC19" s="160"/>
      <c r="AD19" s="160"/>
      <c r="AE19" s="161">
        <f t="shared" si="3"/>
        <v>0</v>
      </c>
      <c r="AF19" s="137" t="str">
        <f t="shared" si="5"/>
        <v>ED</v>
      </c>
      <c r="AG19" s="161">
        <f t="shared" si="2"/>
        <v>0</v>
      </c>
      <c r="AH19" s="230" t="b">
        <f t="shared" si="4"/>
        <v>0</v>
      </c>
      <c r="AI19" s="230"/>
      <c r="AJ19" s="230"/>
      <c r="AK19" s="230"/>
      <c r="AL19" s="230"/>
      <c r="AM19" s="230"/>
      <c r="AN19" s="185"/>
      <c r="AO19" s="185"/>
      <c r="AP19" s="185"/>
      <c r="AQ19" s="185"/>
      <c r="AR19" s="186"/>
    </row>
    <row r="20" spans="1:44" ht="12" customHeight="1" x14ac:dyDescent="0.4">
      <c r="A20" s="37">
        <v>12</v>
      </c>
      <c r="B20" s="162">
        <f>'C. FILIACION'!B19</f>
        <v>0</v>
      </c>
      <c r="C20" s="160"/>
      <c r="D20" s="160"/>
      <c r="E20" s="160"/>
      <c r="F20" s="160"/>
      <c r="G20" s="160"/>
      <c r="H20" s="160"/>
      <c r="I20" s="160"/>
      <c r="J20" s="160"/>
      <c r="K20" s="160"/>
      <c r="L20" s="160"/>
      <c r="M20" s="160"/>
      <c r="N20" s="160"/>
      <c r="O20" s="161" t="str">
        <f t="shared" si="0"/>
        <v/>
      </c>
      <c r="P20" s="160"/>
      <c r="Q20" s="160"/>
      <c r="R20" s="160"/>
      <c r="S20" s="160"/>
      <c r="T20" s="160"/>
      <c r="U20" s="160"/>
      <c r="V20" s="160"/>
      <c r="W20" s="160"/>
      <c r="X20" s="160"/>
      <c r="Y20" s="160"/>
      <c r="Z20" s="160"/>
      <c r="AA20" s="160"/>
      <c r="AB20" s="161" t="str">
        <f t="shared" si="1"/>
        <v/>
      </c>
      <c r="AC20" s="160"/>
      <c r="AD20" s="160"/>
      <c r="AE20" s="161">
        <f t="shared" si="3"/>
        <v>0</v>
      </c>
      <c r="AF20" s="137" t="str">
        <f t="shared" si="5"/>
        <v>ED</v>
      </c>
      <c r="AG20" s="161">
        <f t="shared" si="2"/>
        <v>0</v>
      </c>
      <c r="AH20" s="230" t="b">
        <f t="shared" si="4"/>
        <v>0</v>
      </c>
      <c r="AI20" s="230"/>
      <c r="AJ20" s="230"/>
      <c r="AK20" s="230"/>
      <c r="AL20" s="230"/>
      <c r="AM20" s="230"/>
      <c r="AN20" s="185"/>
      <c r="AO20" s="185"/>
      <c r="AP20" s="185"/>
      <c r="AQ20" s="185"/>
      <c r="AR20" s="186"/>
    </row>
    <row r="21" spans="1:44" ht="12" customHeight="1" x14ac:dyDescent="0.4">
      <c r="A21" s="37">
        <v>13</v>
      </c>
      <c r="B21" s="162">
        <f>'C. FILIACION'!B20</f>
        <v>0</v>
      </c>
      <c r="C21" s="160"/>
      <c r="D21" s="160"/>
      <c r="E21" s="160"/>
      <c r="F21" s="160"/>
      <c r="G21" s="160"/>
      <c r="H21" s="160"/>
      <c r="I21" s="160"/>
      <c r="J21" s="160"/>
      <c r="K21" s="160"/>
      <c r="L21" s="160"/>
      <c r="M21" s="160"/>
      <c r="N21" s="160"/>
      <c r="O21" s="161" t="str">
        <f t="shared" si="0"/>
        <v/>
      </c>
      <c r="P21" s="160"/>
      <c r="Q21" s="160"/>
      <c r="R21" s="160"/>
      <c r="S21" s="160"/>
      <c r="T21" s="160"/>
      <c r="U21" s="160"/>
      <c r="V21" s="160"/>
      <c r="W21" s="160"/>
      <c r="X21" s="160"/>
      <c r="Y21" s="160"/>
      <c r="Z21" s="160"/>
      <c r="AA21" s="160"/>
      <c r="AB21" s="161" t="str">
        <f t="shared" si="1"/>
        <v/>
      </c>
      <c r="AC21" s="160"/>
      <c r="AD21" s="160"/>
      <c r="AE21" s="161">
        <f t="shared" si="3"/>
        <v>0</v>
      </c>
      <c r="AF21" s="137" t="str">
        <f t="shared" si="5"/>
        <v>ED</v>
      </c>
      <c r="AG21" s="161">
        <f t="shared" si="2"/>
        <v>0</v>
      </c>
      <c r="AH21" s="230" t="b">
        <f t="shared" si="4"/>
        <v>0</v>
      </c>
      <c r="AI21" s="230"/>
      <c r="AJ21" s="230"/>
      <c r="AK21" s="230"/>
      <c r="AL21" s="230"/>
      <c r="AM21" s="230"/>
      <c r="AN21" s="185"/>
      <c r="AO21" s="185"/>
      <c r="AP21" s="185"/>
      <c r="AQ21" s="185"/>
      <c r="AR21" s="186"/>
    </row>
    <row r="22" spans="1:44" ht="12" customHeight="1" x14ac:dyDescent="0.4">
      <c r="A22" s="37">
        <v>14</v>
      </c>
      <c r="B22" s="162">
        <f>'C. FILIACION'!B21</f>
        <v>0</v>
      </c>
      <c r="C22" s="160"/>
      <c r="D22" s="160"/>
      <c r="E22" s="160"/>
      <c r="F22" s="160"/>
      <c r="G22" s="160"/>
      <c r="H22" s="160"/>
      <c r="I22" s="160"/>
      <c r="J22" s="160"/>
      <c r="K22" s="160"/>
      <c r="L22" s="160"/>
      <c r="M22" s="160"/>
      <c r="N22" s="160"/>
      <c r="O22" s="161" t="str">
        <f t="shared" si="0"/>
        <v/>
      </c>
      <c r="P22" s="160"/>
      <c r="Q22" s="160"/>
      <c r="R22" s="160"/>
      <c r="S22" s="160"/>
      <c r="T22" s="160"/>
      <c r="U22" s="160"/>
      <c r="V22" s="160"/>
      <c r="W22" s="160"/>
      <c r="X22" s="160"/>
      <c r="Y22" s="160"/>
      <c r="Z22" s="160"/>
      <c r="AA22" s="160"/>
      <c r="AB22" s="161" t="str">
        <f t="shared" si="1"/>
        <v/>
      </c>
      <c r="AC22" s="160"/>
      <c r="AD22" s="160"/>
      <c r="AE22" s="161">
        <f t="shared" si="3"/>
        <v>0</v>
      </c>
      <c r="AF22" s="137" t="str">
        <f t="shared" si="5"/>
        <v>ED</v>
      </c>
      <c r="AG22" s="161">
        <f t="shared" si="2"/>
        <v>0</v>
      </c>
      <c r="AH22" s="230" t="b">
        <f t="shared" si="4"/>
        <v>0</v>
      </c>
      <c r="AI22" s="230"/>
      <c r="AJ22" s="230"/>
      <c r="AK22" s="230"/>
      <c r="AL22" s="230"/>
      <c r="AM22" s="230"/>
      <c r="AN22" s="185"/>
      <c r="AO22" s="185"/>
      <c r="AP22" s="185"/>
      <c r="AQ22" s="185"/>
      <c r="AR22" s="186"/>
    </row>
    <row r="23" spans="1:44" ht="12" customHeight="1" x14ac:dyDescent="0.4">
      <c r="A23" s="37">
        <v>15</v>
      </c>
      <c r="B23" s="162">
        <f>'C. FILIACION'!B22</f>
        <v>0</v>
      </c>
      <c r="C23" s="160"/>
      <c r="D23" s="160"/>
      <c r="E23" s="160"/>
      <c r="F23" s="160"/>
      <c r="G23" s="160"/>
      <c r="H23" s="160"/>
      <c r="I23" s="160"/>
      <c r="J23" s="160"/>
      <c r="K23" s="160"/>
      <c r="L23" s="160"/>
      <c r="M23" s="160"/>
      <c r="N23" s="160"/>
      <c r="O23" s="161" t="str">
        <f t="shared" si="0"/>
        <v/>
      </c>
      <c r="P23" s="160"/>
      <c r="Q23" s="160"/>
      <c r="R23" s="160"/>
      <c r="S23" s="160"/>
      <c r="T23" s="160"/>
      <c r="U23" s="160"/>
      <c r="V23" s="160"/>
      <c r="W23" s="160"/>
      <c r="X23" s="160"/>
      <c r="Y23" s="160"/>
      <c r="Z23" s="160"/>
      <c r="AA23" s="160"/>
      <c r="AB23" s="161" t="str">
        <f t="shared" si="1"/>
        <v/>
      </c>
      <c r="AC23" s="160"/>
      <c r="AD23" s="160"/>
      <c r="AE23" s="161">
        <f t="shared" si="3"/>
        <v>0</v>
      </c>
      <c r="AF23" s="137" t="str">
        <f t="shared" si="5"/>
        <v>ED</v>
      </c>
      <c r="AG23" s="161">
        <f t="shared" si="2"/>
        <v>0</v>
      </c>
      <c r="AH23" s="230" t="b">
        <f t="shared" si="4"/>
        <v>0</v>
      </c>
      <c r="AI23" s="230"/>
      <c r="AJ23" s="230"/>
      <c r="AK23" s="230"/>
      <c r="AL23" s="230"/>
      <c r="AM23" s="230"/>
      <c r="AN23" s="185"/>
      <c r="AO23" s="185"/>
      <c r="AP23" s="185"/>
      <c r="AQ23" s="185"/>
      <c r="AR23" s="186"/>
    </row>
    <row r="24" spans="1:44" ht="12" customHeight="1" x14ac:dyDescent="0.4">
      <c r="A24" s="37">
        <v>16</v>
      </c>
      <c r="B24" s="162">
        <f>'C. FILIACION'!B23</f>
        <v>0</v>
      </c>
      <c r="C24" s="160"/>
      <c r="D24" s="160"/>
      <c r="E24" s="160"/>
      <c r="F24" s="160"/>
      <c r="G24" s="160"/>
      <c r="H24" s="160"/>
      <c r="I24" s="160"/>
      <c r="J24" s="160"/>
      <c r="K24" s="160"/>
      <c r="L24" s="160"/>
      <c r="M24" s="160"/>
      <c r="N24" s="160"/>
      <c r="O24" s="161" t="str">
        <f t="shared" si="0"/>
        <v/>
      </c>
      <c r="P24" s="160"/>
      <c r="Q24" s="160"/>
      <c r="R24" s="160"/>
      <c r="S24" s="160"/>
      <c r="T24" s="160"/>
      <c r="U24" s="160"/>
      <c r="V24" s="160"/>
      <c r="W24" s="160"/>
      <c r="X24" s="160"/>
      <c r="Y24" s="160"/>
      <c r="Z24" s="160"/>
      <c r="AA24" s="160"/>
      <c r="AB24" s="161" t="str">
        <f t="shared" si="1"/>
        <v/>
      </c>
      <c r="AC24" s="160"/>
      <c r="AD24" s="160"/>
      <c r="AE24" s="161">
        <f t="shared" si="3"/>
        <v>0</v>
      </c>
      <c r="AF24" s="137" t="str">
        <f t="shared" si="5"/>
        <v>ED</v>
      </c>
      <c r="AG24" s="161">
        <f t="shared" si="2"/>
        <v>0</v>
      </c>
      <c r="AH24" s="230" t="b">
        <f t="shared" si="4"/>
        <v>0</v>
      </c>
      <c r="AI24" s="230"/>
      <c r="AJ24" s="230"/>
      <c r="AK24" s="230"/>
      <c r="AL24" s="230"/>
      <c r="AM24" s="230"/>
      <c r="AN24" s="185"/>
      <c r="AO24" s="185"/>
      <c r="AP24" s="185"/>
      <c r="AQ24" s="185"/>
      <c r="AR24" s="186"/>
    </row>
    <row r="25" spans="1:44" ht="12" customHeight="1" x14ac:dyDescent="0.4">
      <c r="A25" s="37">
        <v>17</v>
      </c>
      <c r="B25" s="162">
        <f>'C. FILIACION'!B24</f>
        <v>0</v>
      </c>
      <c r="C25" s="160"/>
      <c r="D25" s="160"/>
      <c r="E25" s="160"/>
      <c r="F25" s="160"/>
      <c r="G25" s="160"/>
      <c r="H25" s="160"/>
      <c r="I25" s="160"/>
      <c r="J25" s="160"/>
      <c r="K25" s="160"/>
      <c r="L25" s="160"/>
      <c r="M25" s="160"/>
      <c r="N25" s="160"/>
      <c r="O25" s="161" t="str">
        <f t="shared" si="0"/>
        <v/>
      </c>
      <c r="P25" s="160"/>
      <c r="Q25" s="160"/>
      <c r="R25" s="160"/>
      <c r="S25" s="160"/>
      <c r="T25" s="160"/>
      <c r="U25" s="160"/>
      <c r="V25" s="160"/>
      <c r="W25" s="160"/>
      <c r="X25" s="160"/>
      <c r="Y25" s="160"/>
      <c r="Z25" s="160"/>
      <c r="AA25" s="160"/>
      <c r="AB25" s="161" t="str">
        <f t="shared" si="1"/>
        <v/>
      </c>
      <c r="AC25" s="160"/>
      <c r="AD25" s="160"/>
      <c r="AE25" s="161">
        <f t="shared" si="3"/>
        <v>0</v>
      </c>
      <c r="AF25" s="137" t="str">
        <f t="shared" si="5"/>
        <v>ED</v>
      </c>
      <c r="AG25" s="161">
        <f t="shared" si="2"/>
        <v>0</v>
      </c>
      <c r="AH25" s="230" t="b">
        <f t="shared" si="4"/>
        <v>0</v>
      </c>
      <c r="AI25" s="230"/>
      <c r="AJ25" s="230"/>
      <c r="AK25" s="230"/>
      <c r="AL25" s="230"/>
      <c r="AM25" s="230"/>
      <c r="AN25" s="185"/>
      <c r="AO25" s="185"/>
      <c r="AP25" s="185"/>
      <c r="AQ25" s="185"/>
      <c r="AR25" s="186"/>
    </row>
    <row r="26" spans="1:44" ht="12" customHeight="1" x14ac:dyDescent="0.4">
      <c r="A26" s="37">
        <v>18</v>
      </c>
      <c r="B26" s="162">
        <f>'C. FILIACION'!B25</f>
        <v>0</v>
      </c>
      <c r="C26" s="160"/>
      <c r="D26" s="160"/>
      <c r="E26" s="160"/>
      <c r="F26" s="160"/>
      <c r="G26" s="160"/>
      <c r="H26" s="160"/>
      <c r="I26" s="160"/>
      <c r="J26" s="160"/>
      <c r="K26" s="160"/>
      <c r="L26" s="160"/>
      <c r="M26" s="160"/>
      <c r="N26" s="160"/>
      <c r="O26" s="161" t="str">
        <f t="shared" si="0"/>
        <v/>
      </c>
      <c r="P26" s="160"/>
      <c r="Q26" s="160"/>
      <c r="R26" s="160"/>
      <c r="S26" s="160"/>
      <c r="T26" s="160"/>
      <c r="U26" s="160"/>
      <c r="V26" s="160"/>
      <c r="W26" s="160"/>
      <c r="X26" s="160"/>
      <c r="Y26" s="160"/>
      <c r="Z26" s="160"/>
      <c r="AA26" s="160"/>
      <c r="AB26" s="161" t="str">
        <f t="shared" si="1"/>
        <v/>
      </c>
      <c r="AC26" s="160"/>
      <c r="AD26" s="160"/>
      <c r="AE26" s="161">
        <f t="shared" si="3"/>
        <v>0</v>
      </c>
      <c r="AF26" s="137" t="str">
        <f t="shared" si="5"/>
        <v>ED</v>
      </c>
      <c r="AG26" s="161">
        <f t="shared" si="2"/>
        <v>0</v>
      </c>
      <c r="AH26" s="230" t="b">
        <f t="shared" si="4"/>
        <v>0</v>
      </c>
      <c r="AI26" s="230"/>
      <c r="AJ26" s="230"/>
      <c r="AK26" s="230"/>
      <c r="AL26" s="230"/>
      <c r="AM26" s="230"/>
      <c r="AN26" s="185"/>
      <c r="AO26" s="185"/>
      <c r="AP26" s="185"/>
      <c r="AQ26" s="185"/>
      <c r="AR26" s="186"/>
    </row>
    <row r="27" spans="1:44" ht="12" customHeight="1" x14ac:dyDescent="0.4">
      <c r="A27" s="37">
        <v>19</v>
      </c>
      <c r="B27" s="162">
        <f>'C. FILIACION'!B26</f>
        <v>0</v>
      </c>
      <c r="C27" s="160"/>
      <c r="D27" s="160"/>
      <c r="E27" s="160"/>
      <c r="F27" s="160"/>
      <c r="G27" s="160"/>
      <c r="H27" s="160"/>
      <c r="I27" s="160"/>
      <c r="J27" s="160"/>
      <c r="K27" s="160"/>
      <c r="L27" s="160"/>
      <c r="M27" s="160"/>
      <c r="N27" s="160"/>
      <c r="O27" s="161" t="str">
        <f t="shared" si="0"/>
        <v/>
      </c>
      <c r="P27" s="160"/>
      <c r="Q27" s="160"/>
      <c r="R27" s="160"/>
      <c r="S27" s="160"/>
      <c r="T27" s="160"/>
      <c r="U27" s="160"/>
      <c r="V27" s="160"/>
      <c r="W27" s="160"/>
      <c r="X27" s="160"/>
      <c r="Y27" s="160"/>
      <c r="Z27" s="160"/>
      <c r="AA27" s="160"/>
      <c r="AB27" s="161" t="str">
        <f t="shared" si="1"/>
        <v/>
      </c>
      <c r="AC27" s="160"/>
      <c r="AD27" s="160"/>
      <c r="AE27" s="161">
        <f t="shared" si="3"/>
        <v>0</v>
      </c>
      <c r="AF27" s="137" t="str">
        <f t="shared" si="5"/>
        <v>ED</v>
      </c>
      <c r="AG27" s="161">
        <f t="shared" si="2"/>
        <v>0</v>
      </c>
      <c r="AH27" s="230" t="b">
        <f t="shared" si="4"/>
        <v>0</v>
      </c>
      <c r="AI27" s="230"/>
      <c r="AJ27" s="230"/>
      <c r="AK27" s="230"/>
      <c r="AL27" s="230"/>
      <c r="AM27" s="230"/>
      <c r="AN27" s="185"/>
      <c r="AO27" s="185"/>
      <c r="AP27" s="185"/>
      <c r="AQ27" s="185"/>
      <c r="AR27" s="186"/>
    </row>
    <row r="28" spans="1:44" ht="12" customHeight="1" x14ac:dyDescent="0.4">
      <c r="A28" s="37">
        <v>20</v>
      </c>
      <c r="B28" s="162">
        <f>'C. FILIACION'!B27</f>
        <v>0</v>
      </c>
      <c r="C28" s="160"/>
      <c r="D28" s="160"/>
      <c r="E28" s="160"/>
      <c r="F28" s="160"/>
      <c r="G28" s="160"/>
      <c r="H28" s="160"/>
      <c r="I28" s="160"/>
      <c r="J28" s="160"/>
      <c r="K28" s="160"/>
      <c r="L28" s="160"/>
      <c r="M28" s="160"/>
      <c r="N28" s="160"/>
      <c r="O28" s="161" t="str">
        <f t="shared" si="0"/>
        <v/>
      </c>
      <c r="P28" s="160"/>
      <c r="Q28" s="160"/>
      <c r="R28" s="160"/>
      <c r="S28" s="160"/>
      <c r="T28" s="160"/>
      <c r="U28" s="160"/>
      <c r="V28" s="160"/>
      <c r="W28" s="160"/>
      <c r="X28" s="160"/>
      <c r="Y28" s="160"/>
      <c r="Z28" s="160"/>
      <c r="AA28" s="160"/>
      <c r="AB28" s="161" t="str">
        <f t="shared" si="1"/>
        <v/>
      </c>
      <c r="AC28" s="160"/>
      <c r="AD28" s="160"/>
      <c r="AE28" s="161">
        <f t="shared" si="3"/>
        <v>0</v>
      </c>
      <c r="AF28" s="137" t="str">
        <f t="shared" si="5"/>
        <v>ED</v>
      </c>
      <c r="AG28" s="161">
        <f t="shared" si="2"/>
        <v>0</v>
      </c>
      <c r="AH28" s="230" t="b">
        <f t="shared" si="4"/>
        <v>0</v>
      </c>
      <c r="AI28" s="230"/>
      <c r="AJ28" s="230"/>
      <c r="AK28" s="230"/>
      <c r="AL28" s="230"/>
      <c r="AM28" s="230"/>
      <c r="AN28" s="185"/>
      <c r="AO28" s="185"/>
      <c r="AP28" s="185"/>
      <c r="AQ28" s="185"/>
      <c r="AR28" s="186"/>
    </row>
    <row r="29" spans="1:44" ht="12" customHeight="1" x14ac:dyDescent="0.4">
      <c r="A29" s="37">
        <v>21</v>
      </c>
      <c r="B29" s="162">
        <f>'C. FILIACION'!B28</f>
        <v>0</v>
      </c>
      <c r="C29" s="160"/>
      <c r="D29" s="160"/>
      <c r="E29" s="160"/>
      <c r="F29" s="160"/>
      <c r="G29" s="160"/>
      <c r="H29" s="160"/>
      <c r="I29" s="160"/>
      <c r="J29" s="160"/>
      <c r="K29" s="160"/>
      <c r="L29" s="160"/>
      <c r="M29" s="160"/>
      <c r="N29" s="160"/>
      <c r="O29" s="161" t="str">
        <f t="shared" si="0"/>
        <v/>
      </c>
      <c r="P29" s="160"/>
      <c r="Q29" s="160"/>
      <c r="R29" s="160"/>
      <c r="S29" s="160"/>
      <c r="T29" s="160"/>
      <c r="U29" s="160"/>
      <c r="V29" s="160"/>
      <c r="W29" s="160"/>
      <c r="X29" s="160"/>
      <c r="Y29" s="160"/>
      <c r="Z29" s="160"/>
      <c r="AA29" s="160"/>
      <c r="AB29" s="161" t="str">
        <f t="shared" si="1"/>
        <v/>
      </c>
      <c r="AC29" s="160"/>
      <c r="AD29" s="160"/>
      <c r="AE29" s="161">
        <f t="shared" si="3"/>
        <v>0</v>
      </c>
      <c r="AF29" s="137" t="str">
        <f t="shared" si="5"/>
        <v>ED</v>
      </c>
      <c r="AG29" s="161">
        <f t="shared" si="2"/>
        <v>0</v>
      </c>
      <c r="AH29" s="230" t="b">
        <f t="shared" si="4"/>
        <v>0</v>
      </c>
      <c r="AI29" s="230"/>
      <c r="AJ29" s="230"/>
      <c r="AK29" s="230"/>
      <c r="AL29" s="230"/>
      <c r="AM29" s="230"/>
      <c r="AN29" s="185"/>
      <c r="AO29" s="185"/>
      <c r="AP29" s="185"/>
      <c r="AQ29" s="185"/>
      <c r="AR29" s="186"/>
    </row>
    <row r="30" spans="1:44" ht="12" customHeight="1" x14ac:dyDescent="0.4">
      <c r="A30" s="37">
        <v>22</v>
      </c>
      <c r="B30" s="162">
        <f>'C. FILIACION'!B29</f>
        <v>0</v>
      </c>
      <c r="C30" s="160"/>
      <c r="D30" s="160"/>
      <c r="E30" s="160"/>
      <c r="F30" s="160"/>
      <c r="G30" s="160"/>
      <c r="H30" s="160"/>
      <c r="I30" s="160"/>
      <c r="J30" s="160"/>
      <c r="K30" s="160"/>
      <c r="L30" s="160"/>
      <c r="M30" s="160"/>
      <c r="N30" s="160"/>
      <c r="O30" s="161" t="str">
        <f t="shared" si="0"/>
        <v/>
      </c>
      <c r="P30" s="160"/>
      <c r="Q30" s="160"/>
      <c r="R30" s="160"/>
      <c r="S30" s="160"/>
      <c r="T30" s="160"/>
      <c r="U30" s="160"/>
      <c r="V30" s="160"/>
      <c r="W30" s="160"/>
      <c r="X30" s="160"/>
      <c r="Y30" s="160"/>
      <c r="Z30" s="160"/>
      <c r="AA30" s="160"/>
      <c r="AB30" s="161" t="str">
        <f t="shared" si="1"/>
        <v/>
      </c>
      <c r="AC30" s="160"/>
      <c r="AD30" s="160"/>
      <c r="AE30" s="161">
        <f t="shared" si="3"/>
        <v>0</v>
      </c>
      <c r="AF30" s="137" t="str">
        <f t="shared" si="5"/>
        <v>ED</v>
      </c>
      <c r="AG30" s="161">
        <f t="shared" si="2"/>
        <v>0</v>
      </c>
      <c r="AH30" s="230" t="b">
        <f t="shared" si="4"/>
        <v>0</v>
      </c>
      <c r="AI30" s="230"/>
      <c r="AJ30" s="230"/>
      <c r="AK30" s="230"/>
      <c r="AL30" s="230"/>
      <c r="AM30" s="230"/>
      <c r="AN30" s="185"/>
      <c r="AO30" s="185"/>
      <c r="AP30" s="185"/>
      <c r="AQ30" s="185"/>
      <c r="AR30" s="186"/>
    </row>
    <row r="31" spans="1:44" ht="12" customHeight="1" x14ac:dyDescent="0.4">
      <c r="A31" s="37">
        <v>23</v>
      </c>
      <c r="B31" s="162">
        <f>'C. FILIACION'!B30</f>
        <v>0</v>
      </c>
      <c r="C31" s="160"/>
      <c r="D31" s="160"/>
      <c r="E31" s="160"/>
      <c r="F31" s="160"/>
      <c r="G31" s="160"/>
      <c r="H31" s="160"/>
      <c r="I31" s="160"/>
      <c r="J31" s="160"/>
      <c r="K31" s="160"/>
      <c r="L31" s="160"/>
      <c r="M31" s="160"/>
      <c r="N31" s="160"/>
      <c r="O31" s="161" t="str">
        <f t="shared" si="0"/>
        <v/>
      </c>
      <c r="P31" s="160"/>
      <c r="Q31" s="160"/>
      <c r="R31" s="160"/>
      <c r="S31" s="160"/>
      <c r="T31" s="160"/>
      <c r="U31" s="160"/>
      <c r="V31" s="160"/>
      <c r="W31" s="160"/>
      <c r="X31" s="160"/>
      <c r="Y31" s="160"/>
      <c r="Z31" s="160"/>
      <c r="AA31" s="160"/>
      <c r="AB31" s="161" t="str">
        <f t="shared" si="1"/>
        <v/>
      </c>
      <c r="AC31" s="160"/>
      <c r="AD31" s="160"/>
      <c r="AE31" s="161">
        <f t="shared" si="3"/>
        <v>0</v>
      </c>
      <c r="AF31" s="137" t="str">
        <f t="shared" si="5"/>
        <v>ED</v>
      </c>
      <c r="AG31" s="161">
        <f t="shared" si="2"/>
        <v>0</v>
      </c>
      <c r="AH31" s="230" t="b">
        <f t="shared" si="4"/>
        <v>0</v>
      </c>
      <c r="AI31" s="230"/>
      <c r="AJ31" s="230"/>
      <c r="AK31" s="230"/>
      <c r="AL31" s="230"/>
      <c r="AM31" s="230"/>
      <c r="AN31" s="185"/>
      <c r="AO31" s="185"/>
      <c r="AP31" s="185"/>
      <c r="AQ31" s="185"/>
      <c r="AR31" s="186"/>
    </row>
    <row r="32" spans="1:44" ht="12" customHeight="1" x14ac:dyDescent="0.4">
      <c r="A32" s="37">
        <v>24</v>
      </c>
      <c r="B32" s="162">
        <f>'C. FILIACION'!B31</f>
        <v>0</v>
      </c>
      <c r="C32" s="160"/>
      <c r="D32" s="160"/>
      <c r="E32" s="160"/>
      <c r="F32" s="160"/>
      <c r="G32" s="160"/>
      <c r="H32" s="160"/>
      <c r="I32" s="160"/>
      <c r="J32" s="160"/>
      <c r="K32" s="160"/>
      <c r="L32" s="160"/>
      <c r="M32" s="160"/>
      <c r="N32" s="160"/>
      <c r="O32" s="161" t="str">
        <f t="shared" si="0"/>
        <v/>
      </c>
      <c r="P32" s="160"/>
      <c r="Q32" s="160"/>
      <c r="R32" s="160"/>
      <c r="S32" s="160"/>
      <c r="T32" s="160"/>
      <c r="U32" s="160"/>
      <c r="V32" s="160"/>
      <c r="W32" s="160"/>
      <c r="X32" s="160"/>
      <c r="Y32" s="160"/>
      <c r="Z32" s="160"/>
      <c r="AA32" s="160"/>
      <c r="AB32" s="161" t="str">
        <f t="shared" si="1"/>
        <v/>
      </c>
      <c r="AC32" s="160"/>
      <c r="AD32" s="160"/>
      <c r="AE32" s="161">
        <f t="shared" si="3"/>
        <v>0</v>
      </c>
      <c r="AF32" s="137" t="str">
        <f t="shared" si="5"/>
        <v>ED</v>
      </c>
      <c r="AG32" s="161">
        <f t="shared" si="2"/>
        <v>0</v>
      </c>
      <c r="AH32" s="230" t="b">
        <f t="shared" si="4"/>
        <v>0</v>
      </c>
      <c r="AI32" s="230"/>
      <c r="AJ32" s="230"/>
      <c r="AK32" s="230"/>
      <c r="AL32" s="230"/>
      <c r="AM32" s="230"/>
      <c r="AN32" s="185"/>
      <c r="AO32" s="185"/>
      <c r="AP32" s="185"/>
      <c r="AQ32" s="185"/>
      <c r="AR32" s="186"/>
    </row>
    <row r="33" spans="1:44" ht="12" customHeight="1" x14ac:dyDescent="0.4">
      <c r="A33" s="37">
        <v>25</v>
      </c>
      <c r="B33" s="162">
        <f>'C. FILIACION'!B32</f>
        <v>0</v>
      </c>
      <c r="C33" s="160"/>
      <c r="D33" s="160"/>
      <c r="E33" s="160"/>
      <c r="F33" s="160"/>
      <c r="G33" s="160"/>
      <c r="H33" s="160"/>
      <c r="I33" s="160"/>
      <c r="J33" s="160"/>
      <c r="K33" s="160"/>
      <c r="L33" s="160"/>
      <c r="M33" s="160"/>
      <c r="N33" s="160"/>
      <c r="O33" s="161" t="str">
        <f t="shared" si="0"/>
        <v/>
      </c>
      <c r="P33" s="160"/>
      <c r="Q33" s="160"/>
      <c r="R33" s="160"/>
      <c r="S33" s="160"/>
      <c r="T33" s="160"/>
      <c r="U33" s="160"/>
      <c r="V33" s="160"/>
      <c r="W33" s="160"/>
      <c r="X33" s="160"/>
      <c r="Y33" s="160"/>
      <c r="Z33" s="160"/>
      <c r="AA33" s="160"/>
      <c r="AB33" s="161" t="str">
        <f t="shared" si="1"/>
        <v/>
      </c>
      <c r="AC33" s="160"/>
      <c r="AD33" s="160"/>
      <c r="AE33" s="161">
        <f t="shared" si="3"/>
        <v>0</v>
      </c>
      <c r="AF33" s="137" t="str">
        <f t="shared" si="5"/>
        <v>ED</v>
      </c>
      <c r="AG33" s="161">
        <f t="shared" si="2"/>
        <v>0</v>
      </c>
      <c r="AH33" s="230" t="b">
        <f t="shared" si="4"/>
        <v>0</v>
      </c>
      <c r="AI33" s="230"/>
      <c r="AJ33" s="230"/>
      <c r="AK33" s="230"/>
      <c r="AL33" s="230"/>
      <c r="AM33" s="230"/>
      <c r="AN33" s="185"/>
      <c r="AO33" s="185"/>
      <c r="AP33" s="185"/>
      <c r="AQ33" s="185"/>
      <c r="AR33" s="186"/>
    </row>
    <row r="34" spans="1:44" ht="12" customHeight="1" x14ac:dyDescent="0.4">
      <c r="A34" s="37">
        <v>26</v>
      </c>
      <c r="B34" s="162">
        <f>'C. FILIACION'!B33</f>
        <v>0</v>
      </c>
      <c r="C34" s="160"/>
      <c r="D34" s="160"/>
      <c r="E34" s="160"/>
      <c r="F34" s="160"/>
      <c r="G34" s="160"/>
      <c r="H34" s="160"/>
      <c r="I34" s="160"/>
      <c r="J34" s="160"/>
      <c r="K34" s="160"/>
      <c r="L34" s="160"/>
      <c r="M34" s="160"/>
      <c r="N34" s="160"/>
      <c r="O34" s="161" t="str">
        <f t="shared" si="0"/>
        <v/>
      </c>
      <c r="P34" s="160"/>
      <c r="Q34" s="160"/>
      <c r="R34" s="160"/>
      <c r="S34" s="160"/>
      <c r="T34" s="160"/>
      <c r="U34" s="160"/>
      <c r="V34" s="160"/>
      <c r="W34" s="160"/>
      <c r="X34" s="160"/>
      <c r="Y34" s="160"/>
      <c r="Z34" s="160"/>
      <c r="AA34" s="160"/>
      <c r="AB34" s="161" t="str">
        <f t="shared" si="1"/>
        <v/>
      </c>
      <c r="AC34" s="160"/>
      <c r="AD34" s="160"/>
      <c r="AE34" s="161">
        <f t="shared" si="3"/>
        <v>0</v>
      </c>
      <c r="AF34" s="137" t="str">
        <f t="shared" si="5"/>
        <v>ED</v>
      </c>
      <c r="AG34" s="161">
        <f t="shared" si="2"/>
        <v>0</v>
      </c>
      <c r="AH34" s="230" t="b">
        <f t="shared" si="4"/>
        <v>0</v>
      </c>
      <c r="AI34" s="230"/>
      <c r="AJ34" s="230"/>
      <c r="AK34" s="230"/>
      <c r="AL34" s="230"/>
      <c r="AM34" s="230"/>
      <c r="AN34" s="185"/>
      <c r="AO34" s="185"/>
      <c r="AP34" s="185"/>
      <c r="AQ34" s="185"/>
      <c r="AR34" s="186"/>
    </row>
    <row r="35" spans="1:44" ht="12" customHeight="1" x14ac:dyDescent="0.4">
      <c r="A35" s="37">
        <v>27</v>
      </c>
      <c r="B35" s="162">
        <f>'C. FILIACION'!B34</f>
        <v>0</v>
      </c>
      <c r="C35" s="160"/>
      <c r="D35" s="160"/>
      <c r="E35" s="160"/>
      <c r="F35" s="160"/>
      <c r="G35" s="160"/>
      <c r="H35" s="160"/>
      <c r="I35" s="160"/>
      <c r="J35" s="160"/>
      <c r="K35" s="160"/>
      <c r="L35" s="160"/>
      <c r="M35" s="160"/>
      <c r="N35" s="160"/>
      <c r="O35" s="161" t="str">
        <f t="shared" si="0"/>
        <v/>
      </c>
      <c r="P35" s="160"/>
      <c r="Q35" s="160"/>
      <c r="R35" s="160"/>
      <c r="S35" s="160"/>
      <c r="T35" s="160"/>
      <c r="U35" s="160"/>
      <c r="V35" s="160"/>
      <c r="W35" s="160"/>
      <c r="X35" s="160"/>
      <c r="Y35" s="160"/>
      <c r="Z35" s="160"/>
      <c r="AA35" s="160"/>
      <c r="AB35" s="161" t="str">
        <f t="shared" si="1"/>
        <v/>
      </c>
      <c r="AC35" s="160"/>
      <c r="AD35" s="160"/>
      <c r="AE35" s="161">
        <f t="shared" si="3"/>
        <v>0</v>
      </c>
      <c r="AF35" s="137" t="str">
        <f t="shared" si="5"/>
        <v>ED</v>
      </c>
      <c r="AG35" s="161">
        <f t="shared" si="2"/>
        <v>0</v>
      </c>
      <c r="AH35" s="230" t="b">
        <f t="shared" si="4"/>
        <v>0</v>
      </c>
      <c r="AI35" s="230"/>
      <c r="AJ35" s="230"/>
      <c r="AK35" s="230"/>
      <c r="AL35" s="230"/>
      <c r="AM35" s="230"/>
      <c r="AN35" s="185"/>
      <c r="AO35" s="185"/>
      <c r="AP35" s="185"/>
      <c r="AQ35" s="185"/>
      <c r="AR35" s="186"/>
    </row>
    <row r="36" spans="1:44" ht="12" customHeight="1" x14ac:dyDescent="0.4">
      <c r="A36" s="37">
        <v>28</v>
      </c>
      <c r="B36" s="162">
        <f>'C. FILIACION'!B35</f>
        <v>0</v>
      </c>
      <c r="C36" s="160"/>
      <c r="D36" s="160"/>
      <c r="E36" s="160"/>
      <c r="F36" s="160"/>
      <c r="G36" s="160"/>
      <c r="H36" s="160"/>
      <c r="I36" s="160"/>
      <c r="J36" s="160"/>
      <c r="K36" s="160"/>
      <c r="L36" s="160"/>
      <c r="M36" s="160"/>
      <c r="N36" s="160"/>
      <c r="O36" s="161" t="str">
        <f t="shared" si="0"/>
        <v/>
      </c>
      <c r="P36" s="160"/>
      <c r="Q36" s="160"/>
      <c r="R36" s="160"/>
      <c r="S36" s="160"/>
      <c r="T36" s="160"/>
      <c r="U36" s="160"/>
      <c r="V36" s="160"/>
      <c r="W36" s="160"/>
      <c r="X36" s="160"/>
      <c r="Y36" s="160"/>
      <c r="Z36" s="160"/>
      <c r="AA36" s="160"/>
      <c r="AB36" s="161" t="str">
        <f t="shared" si="1"/>
        <v/>
      </c>
      <c r="AC36" s="160"/>
      <c r="AD36" s="160"/>
      <c r="AE36" s="161">
        <f t="shared" si="3"/>
        <v>0</v>
      </c>
      <c r="AF36" s="137" t="str">
        <f t="shared" si="5"/>
        <v>ED</v>
      </c>
      <c r="AG36" s="161">
        <f t="shared" si="2"/>
        <v>0</v>
      </c>
      <c r="AH36" s="230" t="b">
        <f t="shared" si="4"/>
        <v>0</v>
      </c>
      <c r="AI36" s="230"/>
      <c r="AJ36" s="230"/>
      <c r="AK36" s="230"/>
      <c r="AL36" s="230"/>
      <c r="AM36" s="230"/>
      <c r="AN36" s="185"/>
      <c r="AO36" s="185"/>
      <c r="AP36" s="185"/>
      <c r="AQ36" s="185"/>
      <c r="AR36" s="186"/>
    </row>
    <row r="37" spans="1:44" ht="12" customHeight="1" x14ac:dyDescent="0.4">
      <c r="A37" s="37">
        <v>29</v>
      </c>
      <c r="B37" s="162">
        <f>'C. FILIACION'!B36</f>
        <v>0</v>
      </c>
      <c r="C37" s="160"/>
      <c r="D37" s="160"/>
      <c r="E37" s="160"/>
      <c r="F37" s="160"/>
      <c r="G37" s="160"/>
      <c r="H37" s="160"/>
      <c r="I37" s="160"/>
      <c r="J37" s="160"/>
      <c r="K37" s="160"/>
      <c r="L37" s="160"/>
      <c r="M37" s="160"/>
      <c r="N37" s="160"/>
      <c r="O37" s="161" t="str">
        <f t="shared" si="0"/>
        <v/>
      </c>
      <c r="P37" s="160"/>
      <c r="Q37" s="160"/>
      <c r="R37" s="160"/>
      <c r="S37" s="160"/>
      <c r="T37" s="160"/>
      <c r="U37" s="160"/>
      <c r="V37" s="160"/>
      <c r="W37" s="160"/>
      <c r="X37" s="160"/>
      <c r="Y37" s="160"/>
      <c r="Z37" s="160"/>
      <c r="AA37" s="160"/>
      <c r="AB37" s="161" t="str">
        <f t="shared" si="1"/>
        <v/>
      </c>
      <c r="AC37" s="160"/>
      <c r="AD37" s="160"/>
      <c r="AE37" s="161">
        <f t="shared" si="3"/>
        <v>0</v>
      </c>
      <c r="AF37" s="137" t="str">
        <f t="shared" si="5"/>
        <v>ED</v>
      </c>
      <c r="AG37" s="161">
        <f t="shared" si="2"/>
        <v>0</v>
      </c>
      <c r="AH37" s="230" t="b">
        <f t="shared" si="4"/>
        <v>0</v>
      </c>
      <c r="AI37" s="230"/>
      <c r="AJ37" s="230"/>
      <c r="AK37" s="230"/>
      <c r="AL37" s="230"/>
      <c r="AM37" s="230"/>
      <c r="AN37" s="185"/>
      <c r="AO37" s="185"/>
      <c r="AP37" s="185"/>
      <c r="AQ37" s="185"/>
      <c r="AR37" s="186"/>
    </row>
    <row r="38" spans="1:44" ht="12" customHeight="1" x14ac:dyDescent="0.4">
      <c r="A38" s="37">
        <v>30</v>
      </c>
      <c r="B38" s="162">
        <f>'C. FILIACION'!B37</f>
        <v>0</v>
      </c>
      <c r="C38" s="160"/>
      <c r="D38" s="160"/>
      <c r="E38" s="160"/>
      <c r="F38" s="160"/>
      <c r="G38" s="160"/>
      <c r="H38" s="160"/>
      <c r="I38" s="160"/>
      <c r="J38" s="160"/>
      <c r="K38" s="160"/>
      <c r="L38" s="160"/>
      <c r="M38" s="160"/>
      <c r="N38" s="160"/>
      <c r="O38" s="161" t="str">
        <f t="shared" si="0"/>
        <v/>
      </c>
      <c r="P38" s="160"/>
      <c r="Q38" s="160"/>
      <c r="R38" s="160"/>
      <c r="S38" s="160"/>
      <c r="T38" s="160"/>
      <c r="U38" s="160"/>
      <c r="V38" s="160"/>
      <c r="W38" s="160"/>
      <c r="X38" s="160"/>
      <c r="Y38" s="160"/>
      <c r="Z38" s="160"/>
      <c r="AA38" s="160"/>
      <c r="AB38" s="161" t="str">
        <f t="shared" si="1"/>
        <v/>
      </c>
      <c r="AC38" s="160"/>
      <c r="AD38" s="160"/>
      <c r="AE38" s="161">
        <f t="shared" si="3"/>
        <v>0</v>
      </c>
      <c r="AF38" s="137" t="str">
        <f t="shared" si="5"/>
        <v>ED</v>
      </c>
      <c r="AG38" s="161">
        <f t="shared" si="2"/>
        <v>0</v>
      </c>
      <c r="AH38" s="230" t="b">
        <f t="shared" si="4"/>
        <v>0</v>
      </c>
      <c r="AI38" s="230"/>
      <c r="AJ38" s="230"/>
      <c r="AK38" s="230"/>
      <c r="AL38" s="230"/>
      <c r="AM38" s="230"/>
      <c r="AN38" s="185"/>
      <c r="AO38" s="185"/>
      <c r="AP38" s="185"/>
      <c r="AQ38" s="185"/>
      <c r="AR38" s="186"/>
    </row>
    <row r="39" spans="1:44" ht="12" customHeight="1" x14ac:dyDescent="0.4">
      <c r="A39" s="37">
        <v>31</v>
      </c>
      <c r="B39" s="162">
        <f>'C. FILIACION'!B38</f>
        <v>0</v>
      </c>
      <c r="C39" s="160"/>
      <c r="D39" s="160"/>
      <c r="E39" s="160"/>
      <c r="F39" s="160"/>
      <c r="G39" s="160"/>
      <c r="H39" s="160"/>
      <c r="I39" s="160"/>
      <c r="J39" s="160"/>
      <c r="K39" s="160"/>
      <c r="L39" s="160"/>
      <c r="M39" s="160"/>
      <c r="N39" s="160"/>
      <c r="O39" s="161" t="str">
        <f t="shared" si="0"/>
        <v/>
      </c>
      <c r="P39" s="160"/>
      <c r="Q39" s="160"/>
      <c r="R39" s="160"/>
      <c r="S39" s="160"/>
      <c r="T39" s="160"/>
      <c r="U39" s="160"/>
      <c r="V39" s="160"/>
      <c r="W39" s="160"/>
      <c r="X39" s="160"/>
      <c r="Y39" s="160"/>
      <c r="Z39" s="160"/>
      <c r="AA39" s="160"/>
      <c r="AB39" s="161" t="str">
        <f t="shared" si="1"/>
        <v/>
      </c>
      <c r="AC39" s="160"/>
      <c r="AD39" s="160"/>
      <c r="AE39" s="161">
        <f t="shared" si="3"/>
        <v>0</v>
      </c>
      <c r="AF39" s="137" t="str">
        <f t="shared" si="5"/>
        <v>ED</v>
      </c>
      <c r="AG39" s="161">
        <f t="shared" si="2"/>
        <v>0</v>
      </c>
      <c r="AH39" s="230" t="b">
        <f t="shared" si="4"/>
        <v>0</v>
      </c>
      <c r="AI39" s="230"/>
      <c r="AJ39" s="230"/>
      <c r="AK39" s="230"/>
      <c r="AL39" s="230"/>
      <c r="AM39" s="230"/>
      <c r="AN39" s="185"/>
      <c r="AO39" s="185"/>
      <c r="AP39" s="185"/>
      <c r="AQ39" s="185"/>
      <c r="AR39" s="186"/>
    </row>
    <row r="40" spans="1:44" ht="12" customHeight="1" x14ac:dyDescent="0.4">
      <c r="A40" s="37">
        <v>32</v>
      </c>
      <c r="B40" s="162">
        <f>'C. FILIACION'!B39</f>
        <v>0</v>
      </c>
      <c r="C40" s="160"/>
      <c r="D40" s="160"/>
      <c r="E40" s="160"/>
      <c r="F40" s="160"/>
      <c r="G40" s="160"/>
      <c r="H40" s="160"/>
      <c r="I40" s="160"/>
      <c r="J40" s="160"/>
      <c r="K40" s="160"/>
      <c r="L40" s="160"/>
      <c r="M40" s="160"/>
      <c r="N40" s="160"/>
      <c r="O40" s="161" t="str">
        <f t="shared" si="0"/>
        <v/>
      </c>
      <c r="P40" s="160"/>
      <c r="Q40" s="160"/>
      <c r="R40" s="160"/>
      <c r="S40" s="160"/>
      <c r="T40" s="160"/>
      <c r="U40" s="160"/>
      <c r="V40" s="160"/>
      <c r="W40" s="160"/>
      <c r="X40" s="160"/>
      <c r="Y40" s="160"/>
      <c r="Z40" s="160"/>
      <c r="AA40" s="160"/>
      <c r="AB40" s="161" t="str">
        <f t="shared" si="1"/>
        <v/>
      </c>
      <c r="AC40" s="160"/>
      <c r="AD40" s="160"/>
      <c r="AE40" s="161">
        <f t="shared" si="3"/>
        <v>0</v>
      </c>
      <c r="AF40" s="137" t="str">
        <f t="shared" si="5"/>
        <v>ED</v>
      </c>
      <c r="AG40" s="161">
        <f t="shared" si="2"/>
        <v>0</v>
      </c>
      <c r="AH40" s="230" t="b">
        <f t="shared" si="4"/>
        <v>0</v>
      </c>
      <c r="AI40" s="230"/>
      <c r="AJ40" s="230"/>
      <c r="AK40" s="230"/>
      <c r="AL40" s="230"/>
      <c r="AM40" s="230"/>
      <c r="AN40" s="185"/>
      <c r="AO40" s="185"/>
      <c r="AP40" s="185"/>
      <c r="AQ40" s="185"/>
      <c r="AR40" s="186"/>
    </row>
    <row r="41" spans="1:44" ht="12" customHeight="1" x14ac:dyDescent="0.4">
      <c r="A41" s="37">
        <v>33</v>
      </c>
      <c r="B41" s="162">
        <f>'C. FILIACION'!B40</f>
        <v>0</v>
      </c>
      <c r="C41" s="160"/>
      <c r="D41" s="160"/>
      <c r="E41" s="160"/>
      <c r="F41" s="160"/>
      <c r="G41" s="160"/>
      <c r="H41" s="160"/>
      <c r="I41" s="160"/>
      <c r="J41" s="160"/>
      <c r="K41" s="160"/>
      <c r="L41" s="160"/>
      <c r="M41" s="160"/>
      <c r="N41" s="160"/>
      <c r="O41" s="161" t="str">
        <f t="shared" si="0"/>
        <v/>
      </c>
      <c r="P41" s="160"/>
      <c r="Q41" s="160"/>
      <c r="R41" s="160"/>
      <c r="S41" s="160"/>
      <c r="T41" s="160"/>
      <c r="U41" s="160"/>
      <c r="V41" s="160"/>
      <c r="W41" s="160"/>
      <c r="X41" s="160"/>
      <c r="Y41" s="160"/>
      <c r="Z41" s="160"/>
      <c r="AA41" s="160"/>
      <c r="AB41" s="161" t="str">
        <f t="shared" si="1"/>
        <v/>
      </c>
      <c r="AC41" s="160"/>
      <c r="AD41" s="160"/>
      <c r="AE41" s="161">
        <f t="shared" si="3"/>
        <v>0</v>
      </c>
      <c r="AF41" s="137" t="str">
        <f t="shared" si="5"/>
        <v>ED</v>
      </c>
      <c r="AG41" s="161">
        <f t="shared" si="2"/>
        <v>0</v>
      </c>
      <c r="AH41" s="230" t="b">
        <f t="shared" si="4"/>
        <v>0</v>
      </c>
      <c r="AI41" s="230"/>
      <c r="AJ41" s="230"/>
      <c r="AK41" s="230"/>
      <c r="AL41" s="230"/>
      <c r="AM41" s="230"/>
      <c r="AN41" s="185"/>
      <c r="AO41" s="185"/>
      <c r="AP41" s="185"/>
      <c r="AQ41" s="185"/>
      <c r="AR41" s="186"/>
    </row>
    <row r="42" spans="1:44" ht="12" customHeight="1" x14ac:dyDescent="0.4">
      <c r="A42" s="37">
        <v>34</v>
      </c>
      <c r="B42" s="162">
        <f>'C. FILIACION'!B41</f>
        <v>0</v>
      </c>
      <c r="C42" s="160"/>
      <c r="D42" s="160"/>
      <c r="E42" s="160"/>
      <c r="F42" s="160"/>
      <c r="G42" s="160"/>
      <c r="H42" s="160"/>
      <c r="I42" s="160"/>
      <c r="J42" s="160"/>
      <c r="K42" s="160"/>
      <c r="L42" s="160"/>
      <c r="M42" s="160"/>
      <c r="N42" s="160"/>
      <c r="O42" s="161" t="str">
        <f t="shared" si="0"/>
        <v/>
      </c>
      <c r="P42" s="160"/>
      <c r="Q42" s="160"/>
      <c r="R42" s="160"/>
      <c r="S42" s="160"/>
      <c r="T42" s="160"/>
      <c r="U42" s="160"/>
      <c r="V42" s="160"/>
      <c r="W42" s="160"/>
      <c r="X42" s="160"/>
      <c r="Y42" s="160"/>
      <c r="Z42" s="160"/>
      <c r="AA42" s="160"/>
      <c r="AB42" s="161" t="str">
        <f t="shared" si="1"/>
        <v/>
      </c>
      <c r="AC42" s="160"/>
      <c r="AD42" s="160"/>
      <c r="AE42" s="161">
        <f t="shared" si="3"/>
        <v>0</v>
      </c>
      <c r="AF42" s="137" t="str">
        <f t="shared" si="5"/>
        <v>ED</v>
      </c>
      <c r="AG42" s="161">
        <f t="shared" si="2"/>
        <v>0</v>
      </c>
      <c r="AH42" s="230" t="b">
        <f t="shared" si="4"/>
        <v>0</v>
      </c>
      <c r="AI42" s="230"/>
      <c r="AJ42" s="230"/>
      <c r="AK42" s="230"/>
      <c r="AL42" s="230"/>
      <c r="AM42" s="230"/>
      <c r="AN42" s="185"/>
      <c r="AO42" s="185"/>
      <c r="AP42" s="185"/>
      <c r="AQ42" s="185"/>
      <c r="AR42" s="186"/>
    </row>
    <row r="43" spans="1:44" ht="12" customHeight="1" x14ac:dyDescent="0.4">
      <c r="A43" s="37">
        <v>35</v>
      </c>
      <c r="B43" s="162">
        <f>'C. FILIACION'!B42</f>
        <v>0</v>
      </c>
      <c r="C43" s="160"/>
      <c r="D43" s="160"/>
      <c r="E43" s="160"/>
      <c r="F43" s="160"/>
      <c r="G43" s="160"/>
      <c r="H43" s="160"/>
      <c r="I43" s="160"/>
      <c r="J43" s="160"/>
      <c r="K43" s="160"/>
      <c r="L43" s="160"/>
      <c r="M43" s="160"/>
      <c r="N43" s="160"/>
      <c r="O43" s="161" t="str">
        <f t="shared" si="0"/>
        <v/>
      </c>
      <c r="P43" s="160"/>
      <c r="Q43" s="160"/>
      <c r="R43" s="160"/>
      <c r="S43" s="160"/>
      <c r="T43" s="160"/>
      <c r="U43" s="160"/>
      <c r="V43" s="160"/>
      <c r="W43" s="160"/>
      <c r="X43" s="160"/>
      <c r="Y43" s="160"/>
      <c r="Z43" s="160"/>
      <c r="AA43" s="160"/>
      <c r="AB43" s="161" t="str">
        <f t="shared" si="1"/>
        <v/>
      </c>
      <c r="AC43" s="160"/>
      <c r="AD43" s="160"/>
      <c r="AE43" s="161">
        <f t="shared" si="3"/>
        <v>0</v>
      </c>
      <c r="AF43" s="137" t="str">
        <f t="shared" si="5"/>
        <v>ED</v>
      </c>
      <c r="AG43" s="161">
        <f t="shared" si="2"/>
        <v>0</v>
      </c>
      <c r="AH43" s="230" t="b">
        <f t="shared" si="4"/>
        <v>0</v>
      </c>
      <c r="AI43" s="230"/>
      <c r="AJ43" s="230"/>
      <c r="AK43" s="230"/>
      <c r="AL43" s="230"/>
      <c r="AM43" s="230"/>
      <c r="AN43" s="185"/>
      <c r="AO43" s="185"/>
      <c r="AP43" s="185"/>
      <c r="AQ43" s="185"/>
      <c r="AR43" s="186"/>
    </row>
    <row r="44" spans="1:44" ht="12" customHeight="1" x14ac:dyDescent="0.4">
      <c r="A44" s="37">
        <v>36</v>
      </c>
      <c r="B44" s="162">
        <f>'C. FILIACION'!B43</f>
        <v>0</v>
      </c>
      <c r="C44" s="160"/>
      <c r="D44" s="160"/>
      <c r="E44" s="160"/>
      <c r="F44" s="160"/>
      <c r="G44" s="160"/>
      <c r="H44" s="160"/>
      <c r="I44" s="160"/>
      <c r="J44" s="160"/>
      <c r="K44" s="160"/>
      <c r="L44" s="160"/>
      <c r="M44" s="160"/>
      <c r="N44" s="160"/>
      <c r="O44" s="161" t="str">
        <f t="shared" si="0"/>
        <v/>
      </c>
      <c r="P44" s="160"/>
      <c r="Q44" s="160"/>
      <c r="R44" s="160"/>
      <c r="S44" s="160"/>
      <c r="T44" s="160"/>
      <c r="U44" s="160"/>
      <c r="V44" s="160"/>
      <c r="W44" s="160"/>
      <c r="X44" s="160"/>
      <c r="Y44" s="160"/>
      <c r="Z44" s="160"/>
      <c r="AA44" s="160"/>
      <c r="AB44" s="161" t="str">
        <f t="shared" si="1"/>
        <v/>
      </c>
      <c r="AC44" s="160"/>
      <c r="AD44" s="160"/>
      <c r="AE44" s="161">
        <f t="shared" si="3"/>
        <v>0</v>
      </c>
      <c r="AF44" s="137" t="str">
        <f t="shared" si="5"/>
        <v>ED</v>
      </c>
      <c r="AG44" s="161">
        <f t="shared" si="2"/>
        <v>0</v>
      </c>
      <c r="AH44" s="230" t="b">
        <f t="shared" si="4"/>
        <v>0</v>
      </c>
      <c r="AI44" s="230"/>
      <c r="AJ44" s="230"/>
      <c r="AK44" s="230"/>
      <c r="AL44" s="230"/>
      <c r="AM44" s="230"/>
      <c r="AN44" s="185"/>
      <c r="AO44" s="185"/>
      <c r="AP44" s="185"/>
      <c r="AQ44" s="185"/>
      <c r="AR44" s="186"/>
    </row>
  </sheetData>
  <sheetProtection algorithmName="SHA-512" hashValue="MGKJej07dm4DeUVqykieb4rl9+9U4e9VOKAXB1fhdImQ0nYB13d26OJH74li/LBrjJWDFncIDtIBTYtBYlAVow==" saltValue="KOS4sAmWOw1chS8BHQ5V1w==" spinCount="100000" sheet="1" objects="1" scenarios="1"/>
  <mergeCells count="64">
    <mergeCell ref="O7:O8"/>
    <mergeCell ref="AB7:AB8"/>
    <mergeCell ref="AB6:AE6"/>
    <mergeCell ref="AO11:AP11"/>
    <mergeCell ref="B2:AR2"/>
    <mergeCell ref="AC3:AH3"/>
    <mergeCell ref="AC4:AH4"/>
    <mergeCell ref="AC5:AH5"/>
    <mergeCell ref="AE7:AE8"/>
    <mergeCell ref="C7:C8"/>
    <mergeCell ref="D7:N7"/>
    <mergeCell ref="C6:AA6"/>
    <mergeCell ref="AA7:AA8"/>
    <mergeCell ref="P7:Z7"/>
    <mergeCell ref="AC7:AC8"/>
    <mergeCell ref="AD7:AD8"/>
    <mergeCell ref="AF7:AF8"/>
    <mergeCell ref="AI3:AM3"/>
    <mergeCell ref="AN3:AR3"/>
    <mergeCell ref="AN4:AR5"/>
    <mergeCell ref="S5:AA5"/>
    <mergeCell ref="AI5:AM5"/>
    <mergeCell ref="AG7:AG8"/>
    <mergeCell ref="AO9:AP9"/>
    <mergeCell ref="AH10:AM10"/>
    <mergeCell ref="AO10:AP10"/>
    <mergeCell ref="AI4:AM4"/>
    <mergeCell ref="AH20:AM20"/>
    <mergeCell ref="AH7:AM8"/>
    <mergeCell ref="AH9:AM9"/>
    <mergeCell ref="AH11:AM11"/>
    <mergeCell ref="AH21:AM21"/>
    <mergeCell ref="AH22:AM22"/>
    <mergeCell ref="AO12:AP12"/>
    <mergeCell ref="AH13:AM13"/>
    <mergeCell ref="AH15:AM15"/>
    <mergeCell ref="AH16:AM16"/>
    <mergeCell ref="AH17:AM17"/>
    <mergeCell ref="AH18:AM18"/>
    <mergeCell ref="AH19:AM19"/>
    <mergeCell ref="AH14:AM14"/>
    <mergeCell ref="AH12:AM12"/>
    <mergeCell ref="AH23:AM23"/>
    <mergeCell ref="AH24:AM24"/>
    <mergeCell ref="AH25:AM25"/>
    <mergeCell ref="AH42:AM42"/>
    <mergeCell ref="AH43:AM43"/>
    <mergeCell ref="AH33:AM33"/>
    <mergeCell ref="AH34:AM34"/>
    <mergeCell ref="AH26:AM26"/>
    <mergeCell ref="AH44:AM44"/>
    <mergeCell ref="AH38:AM38"/>
    <mergeCell ref="AH27:AM27"/>
    <mergeCell ref="AH28:AM28"/>
    <mergeCell ref="AH29:AM29"/>
    <mergeCell ref="AH30:AM30"/>
    <mergeCell ref="AH31:AM31"/>
    <mergeCell ref="AH35:AM35"/>
    <mergeCell ref="AH36:AM36"/>
    <mergeCell ref="AH39:AM39"/>
    <mergeCell ref="AH40:AM40"/>
    <mergeCell ref="AH41:AM41"/>
    <mergeCell ref="AH37:AM37"/>
    <mergeCell ref="AH32:AM32"/>
  </mergeCells>
  <dataValidations count="3">
    <dataValidation type="whole" allowBlank="1" showInputMessage="1" showErrorMessage="1" sqref="AA9:AA44 C9:C44" xr:uid="{00000000-0002-0000-0500-000000000000}">
      <formula1>0</formula1>
      <formula2>10</formula2>
    </dataValidation>
    <dataValidation type="whole" allowBlank="1" showInputMessage="1" showErrorMessage="1" sqref="D9:N44 P9:Z44" xr:uid="{00000000-0002-0000-0500-000001000000}">
      <formula1>0</formula1>
      <formula2>35</formula2>
    </dataValidation>
    <dataValidation type="whole" allowBlank="1" showInputMessage="1" showErrorMessage="1" sqref="AC9:AD44" xr:uid="{00000000-0002-0000-0500-000002000000}">
      <formula1>0</formula1>
      <formula2>5</formula2>
    </dataValidation>
  </dataValidations>
  <pageMargins left="0" right="0" top="0" bottom="0" header="0.31496062992125984" footer="0.31496062992125984"/>
  <pageSetup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8">
    <tabColor theme="9" tint="-0.499984740745262"/>
  </sheetPr>
  <dimension ref="A1:AV44"/>
  <sheetViews>
    <sheetView topLeftCell="A3" zoomScale="120" zoomScaleNormal="120" workbookViewId="0">
      <selection activeCell="AC10" sqref="AC10:AD44"/>
    </sheetView>
  </sheetViews>
  <sheetFormatPr baseColWidth="10" defaultColWidth="8.7109375" defaultRowHeight="12.9" customHeight="1" x14ac:dyDescent="0.4"/>
  <cols>
    <col min="1" max="1" width="1.640625" customWidth="1"/>
    <col min="2" max="2" width="19.640625" customWidth="1"/>
    <col min="3" max="3" width="1.640625" customWidth="1"/>
    <col min="4" max="14" width="1.78515625" customWidth="1"/>
    <col min="15" max="15" width="1.640625" customWidth="1"/>
    <col min="16" max="26" width="1.78515625" customWidth="1"/>
    <col min="27" max="30" width="1.640625" customWidth="1"/>
    <col min="31" max="31" width="2.2109375" customWidth="1"/>
    <col min="32" max="32" width="1.78515625" customWidth="1"/>
    <col min="33" max="33" width="2.640625" customWidth="1"/>
    <col min="34" max="34" width="1.35546875" customWidth="1"/>
    <col min="35" max="38" width="1.640625" customWidth="1"/>
    <col min="39" max="39" width="0.42578125" customWidth="1"/>
    <col min="40" max="40" width="1.640625" customWidth="1"/>
    <col min="41" max="44" width="1.42578125" customWidth="1"/>
    <col min="45" max="49" width="1.640625" customWidth="1"/>
  </cols>
  <sheetData>
    <row r="1" spans="1:48" ht="5.0999999999999996" customHeight="1" x14ac:dyDescent="0.4">
      <c r="A1" s="163"/>
      <c r="B1" s="163"/>
      <c r="C1" s="163"/>
      <c r="D1" s="163"/>
      <c r="E1" s="163"/>
      <c r="F1" s="163"/>
      <c r="G1" s="163"/>
      <c r="H1" s="163"/>
      <c r="I1" s="163"/>
      <c r="J1" s="163"/>
      <c r="K1" s="163"/>
      <c r="L1" s="163"/>
      <c r="M1" s="163"/>
      <c r="N1" s="163"/>
      <c r="O1" s="163"/>
      <c r="P1" s="163"/>
      <c r="Q1" s="163"/>
      <c r="R1" s="163"/>
      <c r="S1" s="163"/>
      <c r="T1" s="163"/>
      <c r="U1" s="163"/>
      <c r="V1" s="163"/>
      <c r="W1" s="163"/>
      <c r="X1" s="163"/>
      <c r="Y1" s="163"/>
      <c r="Z1" s="163"/>
      <c r="AA1" s="163"/>
      <c r="AB1" s="163"/>
      <c r="AC1" s="163"/>
      <c r="AD1" s="163"/>
      <c r="AE1" s="163"/>
      <c r="AF1" s="163"/>
      <c r="AG1" s="163"/>
      <c r="AH1" s="163"/>
      <c r="AI1" s="163"/>
      <c r="AJ1" s="163"/>
      <c r="AK1" s="163"/>
      <c r="AL1" s="163"/>
      <c r="AM1" s="163"/>
      <c r="AN1" s="163"/>
      <c r="AO1" s="163"/>
      <c r="AP1" s="163"/>
      <c r="AQ1" s="163"/>
      <c r="AR1" s="163"/>
      <c r="AS1" s="187"/>
      <c r="AT1" s="187"/>
      <c r="AU1" s="187"/>
      <c r="AV1" s="187"/>
    </row>
    <row r="2" spans="1:48" ht="12.9" customHeight="1" x14ac:dyDescent="0.4">
      <c r="A2" s="163"/>
      <c r="B2" s="245" t="s">
        <v>87</v>
      </c>
      <c r="C2" s="245"/>
      <c r="D2" s="245"/>
      <c r="E2" s="245"/>
      <c r="F2" s="245"/>
      <c r="G2" s="245"/>
      <c r="H2" s="245"/>
      <c r="I2" s="245"/>
      <c r="J2" s="245"/>
      <c r="K2" s="245"/>
      <c r="L2" s="245"/>
      <c r="M2" s="245"/>
      <c r="N2" s="245"/>
      <c r="O2" s="245"/>
      <c r="P2" s="245"/>
      <c r="Q2" s="245"/>
      <c r="R2" s="245"/>
      <c r="S2" s="245"/>
      <c r="T2" s="245"/>
      <c r="U2" s="245"/>
      <c r="V2" s="245"/>
      <c r="W2" s="245"/>
      <c r="X2" s="245"/>
      <c r="Y2" s="245"/>
      <c r="Z2" s="245"/>
      <c r="AA2" s="245"/>
      <c r="AB2" s="245"/>
      <c r="AC2" s="245"/>
      <c r="AD2" s="245"/>
      <c r="AE2" s="245"/>
      <c r="AF2" s="245"/>
      <c r="AG2" s="245"/>
      <c r="AH2" s="245"/>
      <c r="AI2" s="245"/>
      <c r="AJ2" s="245"/>
      <c r="AK2" s="245"/>
      <c r="AL2" s="245"/>
      <c r="AM2" s="245"/>
      <c r="AN2" s="245"/>
      <c r="AO2" s="245"/>
      <c r="AP2" s="245"/>
      <c r="AQ2" s="245"/>
      <c r="AR2" s="245"/>
      <c r="AS2" s="188"/>
      <c r="AT2" s="188"/>
      <c r="AU2" s="188"/>
      <c r="AV2" s="188"/>
    </row>
    <row r="3" spans="1:48" ht="12.9" customHeight="1" thickBot="1" x14ac:dyDescent="0.45">
      <c r="A3" s="163"/>
      <c r="B3" s="164" t="s">
        <v>3</v>
      </c>
      <c r="C3" s="166">
        <f>CARÁTULA!$C$15</f>
        <v>0</v>
      </c>
      <c r="D3" s="167"/>
      <c r="E3" s="167"/>
      <c r="F3" s="167"/>
      <c r="G3" s="168"/>
      <c r="H3" s="168"/>
      <c r="I3" s="168"/>
      <c r="J3" s="168"/>
      <c r="K3" s="168"/>
      <c r="L3" s="168"/>
      <c r="M3" s="169"/>
      <c r="N3" s="169"/>
      <c r="O3" s="169" t="s">
        <v>8</v>
      </c>
      <c r="P3" s="170"/>
      <c r="Q3" s="170"/>
      <c r="R3" s="170"/>
      <c r="S3" s="171">
        <f>CARÁTULA!$C$25</f>
        <v>0</v>
      </c>
      <c r="T3" s="171"/>
      <c r="U3" s="171"/>
      <c r="V3" s="171"/>
      <c r="W3" s="171"/>
      <c r="X3" s="171"/>
      <c r="Y3" s="171"/>
      <c r="Z3" s="171"/>
      <c r="AA3" s="171"/>
      <c r="AB3" s="171"/>
      <c r="AC3" s="246" t="s">
        <v>34</v>
      </c>
      <c r="AD3" s="246"/>
      <c r="AE3" s="246"/>
      <c r="AF3" s="246"/>
      <c r="AG3" s="246"/>
      <c r="AH3" s="246"/>
      <c r="AI3" s="233">
        <f>CARÁTULA!$H$19</f>
        <v>44690</v>
      </c>
      <c r="AJ3" s="234"/>
      <c r="AK3" s="234"/>
      <c r="AL3" s="234"/>
      <c r="AM3" s="234"/>
      <c r="AN3" s="238" t="s">
        <v>40</v>
      </c>
      <c r="AO3" s="238"/>
      <c r="AP3" s="238"/>
      <c r="AQ3" s="238"/>
      <c r="AR3" s="238"/>
      <c r="AS3" s="187"/>
      <c r="AT3" s="187"/>
      <c r="AU3" s="187"/>
      <c r="AV3" s="187"/>
    </row>
    <row r="4" spans="1:48" ht="12.9" customHeight="1" x14ac:dyDescent="0.4">
      <c r="A4" s="163"/>
      <c r="B4" s="164" t="s">
        <v>6</v>
      </c>
      <c r="C4" s="166">
        <f>CARÁTULA!$C$21</f>
        <v>0</v>
      </c>
      <c r="D4" s="167"/>
      <c r="E4" s="167"/>
      <c r="F4" s="167"/>
      <c r="G4" s="168"/>
      <c r="H4" s="168"/>
      <c r="I4" s="168"/>
      <c r="J4" s="168"/>
      <c r="K4" s="168"/>
      <c r="L4" s="168"/>
      <c r="M4" s="169"/>
      <c r="N4" s="169"/>
      <c r="O4" s="169" t="s">
        <v>26</v>
      </c>
      <c r="P4" s="170"/>
      <c r="Q4" s="172"/>
      <c r="R4" s="172"/>
      <c r="S4" s="166">
        <f>CARÁTULA!$C$19</f>
        <v>0</v>
      </c>
      <c r="T4" s="167"/>
      <c r="U4" s="167"/>
      <c r="V4" s="167"/>
      <c r="W4" s="167"/>
      <c r="X4" s="167"/>
      <c r="Y4" s="167"/>
      <c r="Z4" s="167"/>
      <c r="AA4" s="167"/>
      <c r="AB4" s="167"/>
      <c r="AC4" s="246" t="s">
        <v>35</v>
      </c>
      <c r="AD4" s="246"/>
      <c r="AE4" s="246"/>
      <c r="AF4" s="246"/>
      <c r="AG4" s="246"/>
      <c r="AH4" s="246"/>
      <c r="AI4" s="233">
        <f>CARÁTULA!$J$19</f>
        <v>44804</v>
      </c>
      <c r="AJ4" s="234"/>
      <c r="AK4" s="234"/>
      <c r="AL4" s="234"/>
      <c r="AM4" s="234"/>
      <c r="AN4" s="224">
        <f ca="1">AI4-AI5</f>
        <v>208</v>
      </c>
      <c r="AO4" s="225"/>
      <c r="AP4" s="225"/>
      <c r="AQ4" s="225"/>
      <c r="AR4" s="226"/>
    </row>
    <row r="5" spans="1:48" ht="12.9" customHeight="1" thickBot="1" x14ac:dyDescent="0.45">
      <c r="A5" s="163"/>
      <c r="B5" s="164" t="s">
        <v>17</v>
      </c>
      <c r="C5" s="166">
        <f>CARÁTULA!$C$23</f>
        <v>0</v>
      </c>
      <c r="D5" s="167"/>
      <c r="E5" s="167"/>
      <c r="F5" s="167"/>
      <c r="G5" s="173"/>
      <c r="H5" s="173"/>
      <c r="I5" s="173"/>
      <c r="J5" s="173"/>
      <c r="K5" s="173"/>
      <c r="L5" s="173"/>
      <c r="M5" s="164"/>
      <c r="N5" s="164"/>
      <c r="O5" s="164" t="s">
        <v>19</v>
      </c>
      <c r="P5" s="174"/>
      <c r="Q5" s="174"/>
      <c r="R5" s="174"/>
      <c r="S5" s="239">
        <f ca="1">TODAY()</f>
        <v>44596</v>
      </c>
      <c r="T5" s="239"/>
      <c r="U5" s="239"/>
      <c r="V5" s="239"/>
      <c r="W5" s="239"/>
      <c r="X5" s="239"/>
      <c r="Y5" s="239"/>
      <c r="Z5" s="239"/>
      <c r="AA5" s="239"/>
      <c r="AB5" s="167"/>
      <c r="AC5" s="247" t="s">
        <v>36</v>
      </c>
      <c r="AD5" s="247"/>
      <c r="AE5" s="247"/>
      <c r="AF5" s="247"/>
      <c r="AG5" s="247"/>
      <c r="AH5" s="247"/>
      <c r="AI5" s="240">
        <f ca="1">TODAY()</f>
        <v>44596</v>
      </c>
      <c r="AJ5" s="241"/>
      <c r="AK5" s="241"/>
      <c r="AL5" s="241"/>
      <c r="AM5" s="241"/>
      <c r="AN5" s="227"/>
      <c r="AO5" s="228"/>
      <c r="AP5" s="228"/>
      <c r="AQ5" s="228"/>
      <c r="AR5" s="229"/>
    </row>
    <row r="6" spans="1:48" ht="12.9" customHeight="1" x14ac:dyDescent="0.4">
      <c r="A6" s="163"/>
      <c r="B6" s="164"/>
      <c r="C6" s="252" t="s">
        <v>117</v>
      </c>
      <c r="D6" s="253"/>
      <c r="E6" s="253"/>
      <c r="F6" s="253"/>
      <c r="G6" s="253"/>
      <c r="H6" s="253"/>
      <c r="I6" s="253"/>
      <c r="J6" s="253"/>
      <c r="K6" s="253"/>
      <c r="L6" s="253"/>
      <c r="M6" s="253"/>
      <c r="N6" s="253"/>
      <c r="O6" s="253"/>
      <c r="P6" s="253"/>
      <c r="Q6" s="253"/>
      <c r="R6" s="253"/>
      <c r="S6" s="253"/>
      <c r="T6" s="253"/>
      <c r="U6" s="253"/>
      <c r="V6" s="253"/>
      <c r="W6" s="253"/>
      <c r="X6" s="253"/>
      <c r="Y6" s="253"/>
      <c r="Z6" s="253"/>
      <c r="AA6" s="254"/>
      <c r="AB6" s="244" t="s">
        <v>124</v>
      </c>
      <c r="AC6" s="244"/>
      <c r="AD6" s="244"/>
      <c r="AE6" s="244"/>
      <c r="AF6" s="175"/>
      <c r="AG6" s="176"/>
      <c r="AH6" s="176"/>
      <c r="AI6" s="177"/>
      <c r="AJ6" s="178"/>
      <c r="AK6" s="178"/>
      <c r="AL6" s="178"/>
      <c r="AM6" s="178"/>
      <c r="AN6" s="179"/>
      <c r="AO6" s="179"/>
      <c r="AP6" s="179"/>
      <c r="AQ6" s="179"/>
      <c r="AR6" s="179"/>
    </row>
    <row r="7" spans="1:48" ht="12" customHeight="1" x14ac:dyDescent="0.4">
      <c r="A7" s="163"/>
      <c r="B7" s="165"/>
      <c r="C7" s="248" t="s">
        <v>118</v>
      </c>
      <c r="D7" s="250" t="s">
        <v>119</v>
      </c>
      <c r="E7" s="251"/>
      <c r="F7" s="251"/>
      <c r="G7" s="251"/>
      <c r="H7" s="251"/>
      <c r="I7" s="251"/>
      <c r="J7" s="251"/>
      <c r="K7" s="251"/>
      <c r="L7" s="251"/>
      <c r="M7" s="251"/>
      <c r="N7" s="251"/>
      <c r="O7" s="243" t="s">
        <v>42</v>
      </c>
      <c r="P7" s="250" t="s">
        <v>120</v>
      </c>
      <c r="Q7" s="251"/>
      <c r="R7" s="251"/>
      <c r="S7" s="251"/>
      <c r="T7" s="251"/>
      <c r="U7" s="251"/>
      <c r="V7" s="251"/>
      <c r="W7" s="251"/>
      <c r="X7" s="251"/>
      <c r="Y7" s="251"/>
      <c r="Z7" s="251"/>
      <c r="AA7" s="255" t="s">
        <v>121</v>
      </c>
      <c r="AB7" s="243" t="s">
        <v>42</v>
      </c>
      <c r="AC7" s="256" t="s">
        <v>122</v>
      </c>
      <c r="AD7" s="256" t="s">
        <v>123</v>
      </c>
      <c r="AE7" s="243" t="s">
        <v>42</v>
      </c>
      <c r="AF7" s="236" t="s">
        <v>81</v>
      </c>
      <c r="AG7" s="242" t="s">
        <v>43</v>
      </c>
      <c r="AH7" s="235" t="s">
        <v>44</v>
      </c>
      <c r="AI7" s="235"/>
      <c r="AJ7" s="235"/>
      <c r="AK7" s="235"/>
      <c r="AL7" s="235"/>
      <c r="AM7" s="235"/>
      <c r="AN7" s="180"/>
      <c r="AO7" s="181"/>
      <c r="AP7" s="181"/>
      <c r="AQ7" s="181"/>
      <c r="AR7" s="182"/>
    </row>
    <row r="8" spans="1:48" ht="68.099999999999994" customHeight="1" x14ac:dyDescent="0.4">
      <c r="A8" s="16" t="s">
        <v>27</v>
      </c>
      <c r="B8" s="38" t="s">
        <v>28</v>
      </c>
      <c r="C8" s="249"/>
      <c r="D8" s="40"/>
      <c r="E8" s="40"/>
      <c r="F8" s="40"/>
      <c r="G8" s="40"/>
      <c r="H8" s="40"/>
      <c r="I8" s="40"/>
      <c r="J8" s="40"/>
      <c r="K8" s="40"/>
      <c r="L8" s="40"/>
      <c r="M8" s="40"/>
      <c r="N8" s="41"/>
      <c r="O8" s="243"/>
      <c r="P8" s="50"/>
      <c r="Q8" s="40"/>
      <c r="R8" s="40"/>
      <c r="S8" s="40"/>
      <c r="T8" s="40"/>
      <c r="U8" s="40"/>
      <c r="V8" s="40"/>
      <c r="W8" s="40"/>
      <c r="X8" s="40"/>
      <c r="Y8" s="40"/>
      <c r="Z8" s="40"/>
      <c r="AA8" s="255"/>
      <c r="AB8" s="243"/>
      <c r="AC8" s="256"/>
      <c r="AD8" s="256"/>
      <c r="AE8" s="243"/>
      <c r="AF8" s="237"/>
      <c r="AG8" s="242"/>
      <c r="AH8" s="235"/>
      <c r="AI8" s="235"/>
      <c r="AJ8" s="235"/>
      <c r="AK8" s="235"/>
      <c r="AL8" s="235"/>
      <c r="AM8" s="235"/>
      <c r="AN8" s="183"/>
      <c r="AO8" s="183"/>
      <c r="AP8" s="183"/>
      <c r="AQ8" s="183"/>
      <c r="AR8" s="184"/>
    </row>
    <row r="9" spans="1:48" ht="12" customHeight="1" x14ac:dyDescent="0.4">
      <c r="A9" s="37">
        <v>1</v>
      </c>
      <c r="B9" s="162">
        <f>'C. FILIACION'!B8</f>
        <v>0</v>
      </c>
      <c r="C9" s="160">
        <v>10</v>
      </c>
      <c r="D9" s="160">
        <v>35</v>
      </c>
      <c r="E9" s="160">
        <v>35</v>
      </c>
      <c r="F9" s="160">
        <v>35</v>
      </c>
      <c r="G9" s="160">
        <v>35</v>
      </c>
      <c r="H9" s="160">
        <v>35</v>
      </c>
      <c r="I9" s="160">
        <v>35</v>
      </c>
      <c r="J9" s="160">
        <v>35</v>
      </c>
      <c r="K9" s="160">
        <v>35</v>
      </c>
      <c r="L9" s="160">
        <v>35</v>
      </c>
      <c r="M9" s="160">
        <v>35</v>
      </c>
      <c r="N9" s="160">
        <v>35</v>
      </c>
      <c r="O9" s="161">
        <f t="shared" ref="O9:O44" si="0">IFERROR(ROUND(AVERAGE(D9:N9),0),"")</f>
        <v>35</v>
      </c>
      <c r="P9" s="160">
        <v>35</v>
      </c>
      <c r="Q9" s="160">
        <v>35</v>
      </c>
      <c r="R9" s="160">
        <v>35</v>
      </c>
      <c r="S9" s="160">
        <v>35</v>
      </c>
      <c r="T9" s="160">
        <v>35</v>
      </c>
      <c r="U9" s="160">
        <v>35</v>
      </c>
      <c r="V9" s="160">
        <v>35</v>
      </c>
      <c r="W9" s="160">
        <v>35</v>
      </c>
      <c r="X9" s="160">
        <v>35</v>
      </c>
      <c r="Y9" s="160">
        <v>35</v>
      </c>
      <c r="Z9" s="160">
        <v>35</v>
      </c>
      <c r="AA9" s="160">
        <v>10</v>
      </c>
      <c r="AB9" s="161">
        <f t="shared" ref="AB9:AB44" si="1">IFERROR(ROUND(AVERAGE(P9:Z9),0),"")</f>
        <v>35</v>
      </c>
      <c r="AC9" s="160">
        <v>5</v>
      </c>
      <c r="AD9" s="160">
        <v>5</v>
      </c>
      <c r="AE9" s="161">
        <f>IFERROR((SUM(AC9,AD9)),"")</f>
        <v>10</v>
      </c>
      <c r="AF9" s="137" t="str">
        <f>IF(AG9&lt;51,"ED",IF(AG9&lt;67,"DA",IF(AG9&lt;85,"DO","DP")))</f>
        <v>DP</v>
      </c>
      <c r="AG9" s="161">
        <f t="shared" ref="AG9:AG44" si="2">IFERROR((SUM(C9,O9,AA9,AB9,AE9)),"")</f>
        <v>100</v>
      </c>
      <c r="AH9" s="230" t="str">
        <f>IF(AG9="","",(IF(AND(AG9&gt;=1,AG9&lt;=50.499),"REPROBADO",IF(AND(AG9&gt;=50.5,AG9&lt;=100),"APROBADO"))))</f>
        <v>APROBADO</v>
      </c>
      <c r="AI9" s="230"/>
      <c r="AJ9" s="230"/>
      <c r="AK9" s="230"/>
      <c r="AL9" s="230"/>
      <c r="AM9" s="230"/>
      <c r="AN9" s="138" t="s">
        <v>82</v>
      </c>
      <c r="AO9" s="232">
        <f>COUNTIF(AF9:AF44,"ED")</f>
        <v>35</v>
      </c>
      <c r="AP9" s="232"/>
      <c r="AQ9" s="185"/>
      <c r="AR9" s="186"/>
    </row>
    <row r="10" spans="1:48" ht="12" customHeight="1" x14ac:dyDescent="0.4">
      <c r="A10" s="37">
        <v>2</v>
      </c>
      <c r="B10" s="162">
        <f>'C. FILIACION'!B9</f>
        <v>0</v>
      </c>
      <c r="C10" s="160"/>
      <c r="D10" s="160"/>
      <c r="E10" s="160"/>
      <c r="F10" s="160"/>
      <c r="G10" s="160"/>
      <c r="H10" s="160"/>
      <c r="I10" s="160"/>
      <c r="J10" s="160"/>
      <c r="K10" s="160"/>
      <c r="L10" s="160"/>
      <c r="M10" s="160"/>
      <c r="N10" s="160"/>
      <c r="O10" s="161" t="str">
        <f t="shared" si="0"/>
        <v/>
      </c>
      <c r="P10" s="160"/>
      <c r="Q10" s="160"/>
      <c r="R10" s="160"/>
      <c r="S10" s="160"/>
      <c r="T10" s="160"/>
      <c r="U10" s="160"/>
      <c r="V10" s="160"/>
      <c r="W10" s="160"/>
      <c r="X10" s="160"/>
      <c r="Y10" s="160"/>
      <c r="Z10" s="160"/>
      <c r="AA10" s="160"/>
      <c r="AB10" s="161" t="str">
        <f t="shared" si="1"/>
        <v/>
      </c>
      <c r="AC10" s="160"/>
      <c r="AD10" s="160"/>
      <c r="AE10" s="161">
        <f t="shared" ref="AE10:AE44" si="3">IFERROR((SUM(AC10,AD10)),"")</f>
        <v>0</v>
      </c>
      <c r="AF10" s="137" t="str">
        <f>IF(AG10&lt;51,"ED",IF(AG10&lt;67,"DA",IF(AG10&lt;85,"DO","DP")))</f>
        <v>ED</v>
      </c>
      <c r="AG10" s="161">
        <f t="shared" si="2"/>
        <v>0</v>
      </c>
      <c r="AH10" s="230" t="b">
        <f t="shared" ref="AH10:AH44" si="4">IF(AG10="","",(IF(AND(AG10&gt;=1,AG10&lt;=50.499),"REPROBADO",IF(AND(AG10&gt;=50.5,AG10&lt;=100),"APROBADO"))))</f>
        <v>0</v>
      </c>
      <c r="AI10" s="230"/>
      <c r="AJ10" s="230"/>
      <c r="AK10" s="230"/>
      <c r="AL10" s="230"/>
      <c r="AM10" s="230"/>
      <c r="AN10" s="159" t="s">
        <v>83</v>
      </c>
      <c r="AO10" s="231">
        <f>COUNTIF(AF9:AF44,"DA")</f>
        <v>0</v>
      </c>
      <c r="AP10" s="231"/>
      <c r="AQ10" s="185"/>
      <c r="AR10" s="186"/>
    </row>
    <row r="11" spans="1:48" ht="12" customHeight="1" x14ac:dyDescent="0.4">
      <c r="A11" s="37">
        <v>3</v>
      </c>
      <c r="B11" s="162">
        <f>'C. FILIACION'!B10</f>
        <v>0</v>
      </c>
      <c r="C11" s="160"/>
      <c r="D11" s="160"/>
      <c r="E11" s="160"/>
      <c r="F11" s="160"/>
      <c r="G11" s="160"/>
      <c r="H11" s="160"/>
      <c r="I11" s="160"/>
      <c r="J11" s="160"/>
      <c r="K11" s="160"/>
      <c r="L11" s="160"/>
      <c r="M11" s="160"/>
      <c r="N11" s="160"/>
      <c r="O11" s="161" t="str">
        <f t="shared" si="0"/>
        <v/>
      </c>
      <c r="P11" s="160"/>
      <c r="Q11" s="160"/>
      <c r="R11" s="160"/>
      <c r="S11" s="160"/>
      <c r="T11" s="160"/>
      <c r="U11" s="160"/>
      <c r="V11" s="160"/>
      <c r="W11" s="160"/>
      <c r="X11" s="160"/>
      <c r="Y11" s="160"/>
      <c r="Z11" s="160"/>
      <c r="AA11" s="160"/>
      <c r="AB11" s="161" t="str">
        <f t="shared" si="1"/>
        <v/>
      </c>
      <c r="AC11" s="160"/>
      <c r="AD11" s="160"/>
      <c r="AE11" s="161">
        <f t="shared" si="3"/>
        <v>0</v>
      </c>
      <c r="AF11" s="137" t="str">
        <f t="shared" ref="AF11:AF44" si="5">IF(AG11&lt;51,"ED",IF(AG11&lt;67,"DA",IF(AG11&lt;85,"DO","DP")))</f>
        <v>ED</v>
      </c>
      <c r="AG11" s="161">
        <f t="shared" si="2"/>
        <v>0</v>
      </c>
      <c r="AH11" s="230" t="b">
        <f t="shared" si="4"/>
        <v>0</v>
      </c>
      <c r="AI11" s="230"/>
      <c r="AJ11" s="230"/>
      <c r="AK11" s="230"/>
      <c r="AL11" s="230"/>
      <c r="AM11" s="230"/>
      <c r="AN11" s="159" t="s">
        <v>84</v>
      </c>
      <c r="AO11" s="231">
        <f>COUNTIF(AF9:AF44,"DO")</f>
        <v>0</v>
      </c>
      <c r="AP11" s="231"/>
      <c r="AQ11" s="185"/>
      <c r="AR11" s="186"/>
    </row>
    <row r="12" spans="1:48" ht="12" customHeight="1" x14ac:dyDescent="0.4">
      <c r="A12" s="37">
        <v>4</v>
      </c>
      <c r="B12" s="162">
        <f>'C. FILIACION'!B11</f>
        <v>0</v>
      </c>
      <c r="C12" s="160"/>
      <c r="D12" s="160"/>
      <c r="E12" s="160"/>
      <c r="F12" s="160"/>
      <c r="G12" s="160"/>
      <c r="H12" s="160"/>
      <c r="I12" s="160"/>
      <c r="J12" s="160"/>
      <c r="K12" s="160"/>
      <c r="L12" s="160"/>
      <c r="M12" s="160"/>
      <c r="N12" s="160"/>
      <c r="O12" s="161" t="str">
        <f t="shared" si="0"/>
        <v/>
      </c>
      <c r="P12" s="160"/>
      <c r="Q12" s="160"/>
      <c r="R12" s="160"/>
      <c r="S12" s="160"/>
      <c r="T12" s="160"/>
      <c r="U12" s="160"/>
      <c r="V12" s="160"/>
      <c r="W12" s="160"/>
      <c r="X12" s="160"/>
      <c r="Y12" s="160"/>
      <c r="Z12" s="160"/>
      <c r="AA12" s="160"/>
      <c r="AB12" s="161" t="str">
        <f t="shared" si="1"/>
        <v/>
      </c>
      <c r="AC12" s="160"/>
      <c r="AD12" s="160"/>
      <c r="AE12" s="161">
        <f t="shared" si="3"/>
        <v>0</v>
      </c>
      <c r="AF12" s="137" t="str">
        <f t="shared" si="5"/>
        <v>ED</v>
      </c>
      <c r="AG12" s="161">
        <f t="shared" si="2"/>
        <v>0</v>
      </c>
      <c r="AH12" s="230" t="b">
        <f t="shared" si="4"/>
        <v>0</v>
      </c>
      <c r="AI12" s="230"/>
      <c r="AJ12" s="230"/>
      <c r="AK12" s="230"/>
      <c r="AL12" s="230"/>
      <c r="AM12" s="230"/>
      <c r="AN12" s="159" t="s">
        <v>85</v>
      </c>
      <c r="AO12" s="231">
        <f>COUNTIF(AF9:AF44,"DP")</f>
        <v>1</v>
      </c>
      <c r="AP12" s="231"/>
      <c r="AQ12" s="185"/>
      <c r="AR12" s="186"/>
    </row>
    <row r="13" spans="1:48" ht="12" customHeight="1" x14ac:dyDescent="0.4">
      <c r="A13" s="37">
        <v>5</v>
      </c>
      <c r="B13" s="162">
        <f>'C. FILIACION'!B12</f>
        <v>0</v>
      </c>
      <c r="C13" s="160"/>
      <c r="D13" s="160"/>
      <c r="E13" s="160"/>
      <c r="F13" s="160"/>
      <c r="G13" s="160"/>
      <c r="H13" s="160"/>
      <c r="I13" s="160"/>
      <c r="J13" s="160"/>
      <c r="K13" s="160"/>
      <c r="L13" s="160"/>
      <c r="M13" s="160"/>
      <c r="N13" s="160"/>
      <c r="O13" s="161" t="str">
        <f t="shared" si="0"/>
        <v/>
      </c>
      <c r="P13" s="160"/>
      <c r="Q13" s="160"/>
      <c r="R13" s="160"/>
      <c r="S13" s="160"/>
      <c r="T13" s="160"/>
      <c r="U13" s="160"/>
      <c r="V13" s="160"/>
      <c r="W13" s="160"/>
      <c r="X13" s="160"/>
      <c r="Y13" s="160"/>
      <c r="Z13" s="160"/>
      <c r="AA13" s="160"/>
      <c r="AB13" s="161" t="str">
        <f t="shared" si="1"/>
        <v/>
      </c>
      <c r="AC13" s="160"/>
      <c r="AD13" s="160"/>
      <c r="AE13" s="161">
        <f t="shared" si="3"/>
        <v>0</v>
      </c>
      <c r="AF13" s="137" t="str">
        <f t="shared" si="5"/>
        <v>ED</v>
      </c>
      <c r="AG13" s="161">
        <f t="shared" si="2"/>
        <v>0</v>
      </c>
      <c r="AH13" s="230" t="b">
        <f>IF(AG13="","",(IF(AND(AG13&gt;=1,AG13&lt;=50.499),"REPROBADO",IF(AND(AG13&gt;=50.5,AG13&lt;=100),"APROBADO"))))</f>
        <v>0</v>
      </c>
      <c r="AI13" s="230"/>
      <c r="AJ13" s="230"/>
      <c r="AK13" s="230"/>
      <c r="AL13" s="230"/>
      <c r="AM13" s="230"/>
      <c r="AN13" s="185"/>
      <c r="AO13" s="185"/>
      <c r="AP13" s="185"/>
      <c r="AQ13" s="185"/>
      <c r="AR13" s="186"/>
    </row>
    <row r="14" spans="1:48" ht="12" customHeight="1" x14ac:dyDescent="0.4">
      <c r="A14" s="37">
        <v>6</v>
      </c>
      <c r="B14" s="162">
        <f>'C. FILIACION'!B13</f>
        <v>0</v>
      </c>
      <c r="C14" s="160"/>
      <c r="D14" s="160"/>
      <c r="E14" s="160"/>
      <c r="F14" s="160"/>
      <c r="G14" s="160"/>
      <c r="H14" s="160"/>
      <c r="I14" s="160"/>
      <c r="J14" s="160"/>
      <c r="K14" s="160"/>
      <c r="L14" s="160"/>
      <c r="M14" s="160"/>
      <c r="N14" s="160"/>
      <c r="O14" s="161" t="str">
        <f t="shared" si="0"/>
        <v/>
      </c>
      <c r="P14" s="160"/>
      <c r="Q14" s="160"/>
      <c r="R14" s="160"/>
      <c r="S14" s="160"/>
      <c r="T14" s="160"/>
      <c r="U14" s="160"/>
      <c r="V14" s="160"/>
      <c r="W14" s="160"/>
      <c r="X14" s="160"/>
      <c r="Y14" s="160"/>
      <c r="Z14" s="160"/>
      <c r="AA14" s="160"/>
      <c r="AB14" s="161" t="str">
        <f t="shared" si="1"/>
        <v/>
      </c>
      <c r="AC14" s="160"/>
      <c r="AD14" s="160"/>
      <c r="AE14" s="161">
        <f t="shared" si="3"/>
        <v>0</v>
      </c>
      <c r="AF14" s="137" t="str">
        <f t="shared" si="5"/>
        <v>ED</v>
      </c>
      <c r="AG14" s="161">
        <f t="shared" si="2"/>
        <v>0</v>
      </c>
      <c r="AH14" s="230" t="b">
        <f t="shared" si="4"/>
        <v>0</v>
      </c>
      <c r="AI14" s="230"/>
      <c r="AJ14" s="230"/>
      <c r="AK14" s="230"/>
      <c r="AL14" s="230"/>
      <c r="AM14" s="230"/>
      <c r="AN14" s="185"/>
      <c r="AO14" s="185"/>
      <c r="AP14" s="185"/>
      <c r="AQ14" s="185"/>
      <c r="AR14" s="186"/>
    </row>
    <row r="15" spans="1:48" ht="12" customHeight="1" x14ac:dyDescent="0.4">
      <c r="A15" s="37">
        <v>7</v>
      </c>
      <c r="B15" s="162">
        <f>'C. FILIACION'!B14</f>
        <v>0</v>
      </c>
      <c r="C15" s="160"/>
      <c r="D15" s="160"/>
      <c r="E15" s="160"/>
      <c r="F15" s="160"/>
      <c r="G15" s="160"/>
      <c r="H15" s="160"/>
      <c r="I15" s="160"/>
      <c r="J15" s="160"/>
      <c r="K15" s="160"/>
      <c r="L15" s="160"/>
      <c r="M15" s="160"/>
      <c r="N15" s="160"/>
      <c r="O15" s="161" t="str">
        <f t="shared" si="0"/>
        <v/>
      </c>
      <c r="P15" s="160"/>
      <c r="Q15" s="160"/>
      <c r="R15" s="160"/>
      <c r="S15" s="160"/>
      <c r="T15" s="160"/>
      <c r="U15" s="160"/>
      <c r="V15" s="160"/>
      <c r="W15" s="160"/>
      <c r="X15" s="160"/>
      <c r="Y15" s="160"/>
      <c r="Z15" s="160"/>
      <c r="AA15" s="160"/>
      <c r="AB15" s="161" t="str">
        <f t="shared" si="1"/>
        <v/>
      </c>
      <c r="AC15" s="160"/>
      <c r="AD15" s="160"/>
      <c r="AE15" s="161">
        <f t="shared" si="3"/>
        <v>0</v>
      </c>
      <c r="AF15" s="137" t="str">
        <f t="shared" si="5"/>
        <v>ED</v>
      </c>
      <c r="AG15" s="161">
        <f t="shared" si="2"/>
        <v>0</v>
      </c>
      <c r="AH15" s="230" t="b">
        <f>IF(AG15="","",(IF(AND(AG15&gt;=1,AG15&lt;=50.499),"REPROBADO",IF(AND(AG15&gt;=50.5,AG15&lt;=100),"APROBADO"))))</f>
        <v>0</v>
      </c>
      <c r="AI15" s="230"/>
      <c r="AJ15" s="230"/>
      <c r="AK15" s="230"/>
      <c r="AL15" s="230"/>
      <c r="AM15" s="230"/>
      <c r="AN15" s="185"/>
      <c r="AO15" s="185"/>
      <c r="AP15" s="185"/>
      <c r="AQ15" s="185"/>
      <c r="AR15" s="186"/>
    </row>
    <row r="16" spans="1:48" ht="12" customHeight="1" x14ac:dyDescent="0.4">
      <c r="A16" s="37">
        <v>8</v>
      </c>
      <c r="B16" s="162">
        <f>'C. FILIACION'!B15</f>
        <v>0</v>
      </c>
      <c r="C16" s="160"/>
      <c r="D16" s="160"/>
      <c r="E16" s="160"/>
      <c r="F16" s="160"/>
      <c r="G16" s="160"/>
      <c r="H16" s="160"/>
      <c r="I16" s="160"/>
      <c r="J16" s="160"/>
      <c r="K16" s="160"/>
      <c r="L16" s="160"/>
      <c r="M16" s="160"/>
      <c r="N16" s="160"/>
      <c r="O16" s="161" t="str">
        <f t="shared" si="0"/>
        <v/>
      </c>
      <c r="P16" s="160"/>
      <c r="Q16" s="160"/>
      <c r="R16" s="160"/>
      <c r="S16" s="160"/>
      <c r="T16" s="160"/>
      <c r="U16" s="160"/>
      <c r="V16" s="160"/>
      <c r="W16" s="160"/>
      <c r="X16" s="160"/>
      <c r="Y16" s="160"/>
      <c r="Z16" s="160"/>
      <c r="AA16" s="160"/>
      <c r="AB16" s="161" t="str">
        <f t="shared" si="1"/>
        <v/>
      </c>
      <c r="AC16" s="160"/>
      <c r="AD16" s="160"/>
      <c r="AE16" s="161">
        <f t="shared" si="3"/>
        <v>0</v>
      </c>
      <c r="AF16" s="137" t="str">
        <f t="shared" si="5"/>
        <v>ED</v>
      </c>
      <c r="AG16" s="161">
        <f t="shared" si="2"/>
        <v>0</v>
      </c>
      <c r="AH16" s="230" t="b">
        <f t="shared" si="4"/>
        <v>0</v>
      </c>
      <c r="AI16" s="230"/>
      <c r="AJ16" s="230"/>
      <c r="AK16" s="230"/>
      <c r="AL16" s="230"/>
      <c r="AM16" s="230"/>
      <c r="AN16" s="185"/>
      <c r="AO16" s="185"/>
      <c r="AP16" s="185"/>
      <c r="AQ16" s="185"/>
      <c r="AR16" s="186"/>
    </row>
    <row r="17" spans="1:44" ht="12" customHeight="1" x14ac:dyDescent="0.4">
      <c r="A17" s="37">
        <v>9</v>
      </c>
      <c r="B17" s="162">
        <f>'C. FILIACION'!B16</f>
        <v>0</v>
      </c>
      <c r="C17" s="160"/>
      <c r="D17" s="160"/>
      <c r="E17" s="160"/>
      <c r="F17" s="160"/>
      <c r="G17" s="160"/>
      <c r="H17" s="160"/>
      <c r="I17" s="160"/>
      <c r="J17" s="160"/>
      <c r="K17" s="160"/>
      <c r="L17" s="160"/>
      <c r="M17" s="160"/>
      <c r="N17" s="160"/>
      <c r="O17" s="161" t="str">
        <f t="shared" si="0"/>
        <v/>
      </c>
      <c r="P17" s="160"/>
      <c r="Q17" s="160"/>
      <c r="R17" s="160"/>
      <c r="S17" s="160"/>
      <c r="T17" s="160"/>
      <c r="U17" s="160"/>
      <c r="V17" s="160"/>
      <c r="W17" s="160"/>
      <c r="X17" s="160"/>
      <c r="Y17" s="160"/>
      <c r="Z17" s="160"/>
      <c r="AA17" s="160"/>
      <c r="AB17" s="161" t="str">
        <f t="shared" si="1"/>
        <v/>
      </c>
      <c r="AC17" s="160"/>
      <c r="AD17" s="160"/>
      <c r="AE17" s="161">
        <f t="shared" si="3"/>
        <v>0</v>
      </c>
      <c r="AF17" s="137" t="str">
        <f t="shared" si="5"/>
        <v>ED</v>
      </c>
      <c r="AG17" s="161">
        <f t="shared" si="2"/>
        <v>0</v>
      </c>
      <c r="AH17" s="230" t="b">
        <f t="shared" si="4"/>
        <v>0</v>
      </c>
      <c r="AI17" s="230"/>
      <c r="AJ17" s="230"/>
      <c r="AK17" s="230"/>
      <c r="AL17" s="230"/>
      <c r="AM17" s="230"/>
      <c r="AN17" s="185"/>
      <c r="AO17" s="185"/>
      <c r="AP17" s="185"/>
      <c r="AQ17" s="185"/>
      <c r="AR17" s="186"/>
    </row>
    <row r="18" spans="1:44" ht="12" customHeight="1" x14ac:dyDescent="0.4">
      <c r="A18" s="37">
        <v>10</v>
      </c>
      <c r="B18" s="162">
        <f>'C. FILIACION'!B17</f>
        <v>0</v>
      </c>
      <c r="C18" s="160"/>
      <c r="D18" s="160"/>
      <c r="E18" s="160"/>
      <c r="F18" s="160"/>
      <c r="G18" s="160"/>
      <c r="H18" s="160"/>
      <c r="I18" s="160"/>
      <c r="J18" s="160"/>
      <c r="K18" s="160"/>
      <c r="L18" s="160"/>
      <c r="M18" s="160"/>
      <c r="N18" s="160"/>
      <c r="O18" s="161" t="str">
        <f t="shared" si="0"/>
        <v/>
      </c>
      <c r="P18" s="160"/>
      <c r="Q18" s="160"/>
      <c r="R18" s="160"/>
      <c r="S18" s="160"/>
      <c r="T18" s="160"/>
      <c r="U18" s="160"/>
      <c r="V18" s="160"/>
      <c r="W18" s="160"/>
      <c r="X18" s="160"/>
      <c r="Y18" s="160"/>
      <c r="Z18" s="160"/>
      <c r="AA18" s="160"/>
      <c r="AB18" s="161" t="str">
        <f t="shared" si="1"/>
        <v/>
      </c>
      <c r="AC18" s="160"/>
      <c r="AD18" s="160"/>
      <c r="AE18" s="161">
        <f t="shared" si="3"/>
        <v>0</v>
      </c>
      <c r="AF18" s="137" t="str">
        <f t="shared" si="5"/>
        <v>ED</v>
      </c>
      <c r="AG18" s="161">
        <f t="shared" si="2"/>
        <v>0</v>
      </c>
      <c r="AH18" s="230" t="b">
        <f t="shared" si="4"/>
        <v>0</v>
      </c>
      <c r="AI18" s="230"/>
      <c r="AJ18" s="230"/>
      <c r="AK18" s="230"/>
      <c r="AL18" s="230"/>
      <c r="AM18" s="230"/>
      <c r="AN18" s="185"/>
      <c r="AO18" s="185"/>
      <c r="AP18" s="185"/>
      <c r="AQ18" s="185"/>
      <c r="AR18" s="186"/>
    </row>
    <row r="19" spans="1:44" ht="12" customHeight="1" x14ac:dyDescent="0.4">
      <c r="A19" s="37">
        <v>11</v>
      </c>
      <c r="B19" s="162">
        <f>'C. FILIACION'!B18</f>
        <v>0</v>
      </c>
      <c r="C19" s="160"/>
      <c r="D19" s="160"/>
      <c r="E19" s="160"/>
      <c r="F19" s="160"/>
      <c r="G19" s="160"/>
      <c r="H19" s="160"/>
      <c r="I19" s="160"/>
      <c r="J19" s="160"/>
      <c r="K19" s="160"/>
      <c r="L19" s="160"/>
      <c r="M19" s="160"/>
      <c r="N19" s="160"/>
      <c r="O19" s="161" t="str">
        <f t="shared" si="0"/>
        <v/>
      </c>
      <c r="P19" s="160"/>
      <c r="Q19" s="160"/>
      <c r="R19" s="160"/>
      <c r="S19" s="160"/>
      <c r="T19" s="160"/>
      <c r="U19" s="160"/>
      <c r="V19" s="160"/>
      <c r="W19" s="160"/>
      <c r="X19" s="160"/>
      <c r="Y19" s="160"/>
      <c r="Z19" s="160"/>
      <c r="AA19" s="160"/>
      <c r="AB19" s="161" t="str">
        <f t="shared" si="1"/>
        <v/>
      </c>
      <c r="AC19" s="160"/>
      <c r="AD19" s="160"/>
      <c r="AE19" s="161">
        <f t="shared" si="3"/>
        <v>0</v>
      </c>
      <c r="AF19" s="137" t="str">
        <f t="shared" si="5"/>
        <v>ED</v>
      </c>
      <c r="AG19" s="161">
        <f t="shared" si="2"/>
        <v>0</v>
      </c>
      <c r="AH19" s="230" t="b">
        <f t="shared" si="4"/>
        <v>0</v>
      </c>
      <c r="AI19" s="230"/>
      <c r="AJ19" s="230"/>
      <c r="AK19" s="230"/>
      <c r="AL19" s="230"/>
      <c r="AM19" s="230"/>
      <c r="AN19" s="185"/>
      <c r="AO19" s="185"/>
      <c r="AP19" s="185"/>
      <c r="AQ19" s="185"/>
      <c r="AR19" s="186"/>
    </row>
    <row r="20" spans="1:44" ht="12" customHeight="1" x14ac:dyDescent="0.4">
      <c r="A20" s="37">
        <v>12</v>
      </c>
      <c r="B20" s="162">
        <f>'C. FILIACION'!B19</f>
        <v>0</v>
      </c>
      <c r="C20" s="160"/>
      <c r="D20" s="160"/>
      <c r="E20" s="160"/>
      <c r="F20" s="160"/>
      <c r="G20" s="160"/>
      <c r="H20" s="160"/>
      <c r="I20" s="160"/>
      <c r="J20" s="160"/>
      <c r="K20" s="160"/>
      <c r="L20" s="160"/>
      <c r="M20" s="160"/>
      <c r="N20" s="160"/>
      <c r="O20" s="161" t="str">
        <f t="shared" si="0"/>
        <v/>
      </c>
      <c r="P20" s="160"/>
      <c r="Q20" s="160"/>
      <c r="R20" s="160"/>
      <c r="S20" s="160"/>
      <c r="T20" s="160"/>
      <c r="U20" s="160"/>
      <c r="V20" s="160"/>
      <c r="W20" s="160"/>
      <c r="X20" s="160"/>
      <c r="Y20" s="160"/>
      <c r="Z20" s="160"/>
      <c r="AA20" s="160"/>
      <c r="AB20" s="161" t="str">
        <f t="shared" si="1"/>
        <v/>
      </c>
      <c r="AC20" s="160"/>
      <c r="AD20" s="160"/>
      <c r="AE20" s="161">
        <f t="shared" si="3"/>
        <v>0</v>
      </c>
      <c r="AF20" s="137" t="str">
        <f t="shared" si="5"/>
        <v>ED</v>
      </c>
      <c r="AG20" s="161">
        <f t="shared" si="2"/>
        <v>0</v>
      </c>
      <c r="AH20" s="230" t="b">
        <f t="shared" si="4"/>
        <v>0</v>
      </c>
      <c r="AI20" s="230"/>
      <c r="AJ20" s="230"/>
      <c r="AK20" s="230"/>
      <c r="AL20" s="230"/>
      <c r="AM20" s="230"/>
      <c r="AN20" s="185"/>
      <c r="AO20" s="185"/>
      <c r="AP20" s="185"/>
      <c r="AQ20" s="185"/>
      <c r="AR20" s="186"/>
    </row>
    <row r="21" spans="1:44" ht="12" customHeight="1" x14ac:dyDescent="0.4">
      <c r="A21" s="37">
        <v>13</v>
      </c>
      <c r="B21" s="162">
        <f>'C. FILIACION'!B20</f>
        <v>0</v>
      </c>
      <c r="C21" s="160"/>
      <c r="D21" s="160"/>
      <c r="E21" s="160"/>
      <c r="F21" s="160"/>
      <c r="G21" s="160"/>
      <c r="H21" s="160"/>
      <c r="I21" s="160"/>
      <c r="J21" s="160"/>
      <c r="K21" s="160"/>
      <c r="L21" s="160"/>
      <c r="M21" s="160"/>
      <c r="N21" s="160"/>
      <c r="O21" s="161" t="str">
        <f t="shared" si="0"/>
        <v/>
      </c>
      <c r="P21" s="160"/>
      <c r="Q21" s="160"/>
      <c r="R21" s="160"/>
      <c r="S21" s="160"/>
      <c r="T21" s="160"/>
      <c r="U21" s="160"/>
      <c r="V21" s="160"/>
      <c r="W21" s="160"/>
      <c r="X21" s="160"/>
      <c r="Y21" s="160"/>
      <c r="Z21" s="160"/>
      <c r="AA21" s="160"/>
      <c r="AB21" s="161" t="str">
        <f t="shared" si="1"/>
        <v/>
      </c>
      <c r="AC21" s="160"/>
      <c r="AD21" s="160"/>
      <c r="AE21" s="161">
        <f t="shared" si="3"/>
        <v>0</v>
      </c>
      <c r="AF21" s="137" t="str">
        <f t="shared" si="5"/>
        <v>ED</v>
      </c>
      <c r="AG21" s="161">
        <f t="shared" si="2"/>
        <v>0</v>
      </c>
      <c r="AH21" s="230" t="b">
        <f t="shared" si="4"/>
        <v>0</v>
      </c>
      <c r="AI21" s="230"/>
      <c r="AJ21" s="230"/>
      <c r="AK21" s="230"/>
      <c r="AL21" s="230"/>
      <c r="AM21" s="230"/>
      <c r="AN21" s="185"/>
      <c r="AO21" s="185"/>
      <c r="AP21" s="185"/>
      <c r="AQ21" s="185"/>
      <c r="AR21" s="186"/>
    </row>
    <row r="22" spans="1:44" ht="12" customHeight="1" x14ac:dyDescent="0.4">
      <c r="A22" s="37">
        <v>14</v>
      </c>
      <c r="B22" s="162">
        <f>'C. FILIACION'!B21</f>
        <v>0</v>
      </c>
      <c r="C22" s="160"/>
      <c r="D22" s="160"/>
      <c r="E22" s="160"/>
      <c r="F22" s="160"/>
      <c r="G22" s="160"/>
      <c r="H22" s="160"/>
      <c r="I22" s="160"/>
      <c r="J22" s="160"/>
      <c r="K22" s="160"/>
      <c r="L22" s="160"/>
      <c r="M22" s="160"/>
      <c r="N22" s="160"/>
      <c r="O22" s="161" t="str">
        <f t="shared" si="0"/>
        <v/>
      </c>
      <c r="P22" s="160"/>
      <c r="Q22" s="160"/>
      <c r="R22" s="160"/>
      <c r="S22" s="160"/>
      <c r="T22" s="160"/>
      <c r="U22" s="160"/>
      <c r="V22" s="160"/>
      <c r="W22" s="160"/>
      <c r="X22" s="160"/>
      <c r="Y22" s="160"/>
      <c r="Z22" s="160"/>
      <c r="AA22" s="160"/>
      <c r="AB22" s="161" t="str">
        <f t="shared" si="1"/>
        <v/>
      </c>
      <c r="AC22" s="160"/>
      <c r="AD22" s="160"/>
      <c r="AE22" s="161">
        <f t="shared" si="3"/>
        <v>0</v>
      </c>
      <c r="AF22" s="137" t="str">
        <f t="shared" si="5"/>
        <v>ED</v>
      </c>
      <c r="AG22" s="161">
        <f t="shared" si="2"/>
        <v>0</v>
      </c>
      <c r="AH22" s="230" t="b">
        <f t="shared" si="4"/>
        <v>0</v>
      </c>
      <c r="AI22" s="230"/>
      <c r="AJ22" s="230"/>
      <c r="AK22" s="230"/>
      <c r="AL22" s="230"/>
      <c r="AM22" s="230"/>
      <c r="AN22" s="185"/>
      <c r="AO22" s="185"/>
      <c r="AP22" s="185"/>
      <c r="AQ22" s="185"/>
      <c r="AR22" s="186"/>
    </row>
    <row r="23" spans="1:44" ht="12" customHeight="1" x14ac:dyDescent="0.4">
      <c r="A23" s="37">
        <v>15</v>
      </c>
      <c r="B23" s="162">
        <f>'C. FILIACION'!B22</f>
        <v>0</v>
      </c>
      <c r="C23" s="160"/>
      <c r="D23" s="160"/>
      <c r="E23" s="160"/>
      <c r="F23" s="160"/>
      <c r="G23" s="160"/>
      <c r="H23" s="160"/>
      <c r="I23" s="160"/>
      <c r="J23" s="160"/>
      <c r="K23" s="160"/>
      <c r="L23" s="160"/>
      <c r="M23" s="160"/>
      <c r="N23" s="160"/>
      <c r="O23" s="161" t="str">
        <f t="shared" si="0"/>
        <v/>
      </c>
      <c r="P23" s="160"/>
      <c r="Q23" s="160"/>
      <c r="R23" s="160"/>
      <c r="S23" s="160"/>
      <c r="T23" s="160"/>
      <c r="U23" s="160"/>
      <c r="V23" s="160"/>
      <c r="W23" s="160"/>
      <c r="X23" s="160"/>
      <c r="Y23" s="160"/>
      <c r="Z23" s="160"/>
      <c r="AA23" s="160"/>
      <c r="AB23" s="161" t="str">
        <f t="shared" si="1"/>
        <v/>
      </c>
      <c r="AC23" s="160"/>
      <c r="AD23" s="160"/>
      <c r="AE23" s="161">
        <f t="shared" si="3"/>
        <v>0</v>
      </c>
      <c r="AF23" s="137" t="str">
        <f t="shared" si="5"/>
        <v>ED</v>
      </c>
      <c r="AG23" s="161">
        <f t="shared" si="2"/>
        <v>0</v>
      </c>
      <c r="AH23" s="230" t="b">
        <f t="shared" si="4"/>
        <v>0</v>
      </c>
      <c r="AI23" s="230"/>
      <c r="AJ23" s="230"/>
      <c r="AK23" s="230"/>
      <c r="AL23" s="230"/>
      <c r="AM23" s="230"/>
      <c r="AN23" s="185"/>
      <c r="AO23" s="185"/>
      <c r="AP23" s="185"/>
      <c r="AQ23" s="185"/>
      <c r="AR23" s="186"/>
    </row>
    <row r="24" spans="1:44" ht="12" customHeight="1" x14ac:dyDescent="0.4">
      <c r="A24" s="37">
        <v>16</v>
      </c>
      <c r="B24" s="162">
        <f>'C. FILIACION'!B23</f>
        <v>0</v>
      </c>
      <c r="C24" s="160"/>
      <c r="D24" s="160"/>
      <c r="E24" s="160"/>
      <c r="F24" s="160"/>
      <c r="G24" s="160"/>
      <c r="H24" s="160"/>
      <c r="I24" s="160"/>
      <c r="J24" s="160"/>
      <c r="K24" s="160"/>
      <c r="L24" s="160"/>
      <c r="M24" s="160"/>
      <c r="N24" s="160"/>
      <c r="O24" s="161" t="str">
        <f t="shared" si="0"/>
        <v/>
      </c>
      <c r="P24" s="160"/>
      <c r="Q24" s="160"/>
      <c r="R24" s="160"/>
      <c r="S24" s="160"/>
      <c r="T24" s="160"/>
      <c r="U24" s="160"/>
      <c r="V24" s="160"/>
      <c r="W24" s="160"/>
      <c r="X24" s="160"/>
      <c r="Y24" s="160"/>
      <c r="Z24" s="160"/>
      <c r="AA24" s="160"/>
      <c r="AB24" s="161" t="str">
        <f t="shared" si="1"/>
        <v/>
      </c>
      <c r="AC24" s="160"/>
      <c r="AD24" s="160"/>
      <c r="AE24" s="161">
        <f t="shared" si="3"/>
        <v>0</v>
      </c>
      <c r="AF24" s="137" t="str">
        <f t="shared" si="5"/>
        <v>ED</v>
      </c>
      <c r="AG24" s="161">
        <f t="shared" si="2"/>
        <v>0</v>
      </c>
      <c r="AH24" s="230" t="b">
        <f t="shared" si="4"/>
        <v>0</v>
      </c>
      <c r="AI24" s="230"/>
      <c r="AJ24" s="230"/>
      <c r="AK24" s="230"/>
      <c r="AL24" s="230"/>
      <c r="AM24" s="230"/>
      <c r="AN24" s="185"/>
      <c r="AO24" s="185"/>
      <c r="AP24" s="185"/>
      <c r="AQ24" s="185"/>
      <c r="AR24" s="186"/>
    </row>
    <row r="25" spans="1:44" ht="12" customHeight="1" x14ac:dyDescent="0.4">
      <c r="A25" s="37">
        <v>17</v>
      </c>
      <c r="B25" s="162">
        <f>'C. FILIACION'!B24</f>
        <v>0</v>
      </c>
      <c r="C25" s="160"/>
      <c r="D25" s="160"/>
      <c r="E25" s="160"/>
      <c r="F25" s="160"/>
      <c r="G25" s="160"/>
      <c r="H25" s="160"/>
      <c r="I25" s="160"/>
      <c r="J25" s="160"/>
      <c r="K25" s="160"/>
      <c r="L25" s="160"/>
      <c r="M25" s="160"/>
      <c r="N25" s="160"/>
      <c r="O25" s="161" t="str">
        <f t="shared" si="0"/>
        <v/>
      </c>
      <c r="P25" s="160"/>
      <c r="Q25" s="160"/>
      <c r="R25" s="160"/>
      <c r="S25" s="160"/>
      <c r="T25" s="160"/>
      <c r="U25" s="160"/>
      <c r="V25" s="160"/>
      <c r="W25" s="160"/>
      <c r="X25" s="160"/>
      <c r="Y25" s="160"/>
      <c r="Z25" s="160"/>
      <c r="AA25" s="160"/>
      <c r="AB25" s="161" t="str">
        <f t="shared" si="1"/>
        <v/>
      </c>
      <c r="AC25" s="160"/>
      <c r="AD25" s="160"/>
      <c r="AE25" s="161">
        <f t="shared" si="3"/>
        <v>0</v>
      </c>
      <c r="AF25" s="137" t="str">
        <f t="shared" si="5"/>
        <v>ED</v>
      </c>
      <c r="AG25" s="161">
        <f t="shared" si="2"/>
        <v>0</v>
      </c>
      <c r="AH25" s="230" t="b">
        <f t="shared" si="4"/>
        <v>0</v>
      </c>
      <c r="AI25" s="230"/>
      <c r="AJ25" s="230"/>
      <c r="AK25" s="230"/>
      <c r="AL25" s="230"/>
      <c r="AM25" s="230"/>
      <c r="AN25" s="185"/>
      <c r="AO25" s="185"/>
      <c r="AP25" s="185"/>
      <c r="AQ25" s="185"/>
      <c r="AR25" s="186"/>
    </row>
    <row r="26" spans="1:44" ht="12" customHeight="1" x14ac:dyDescent="0.4">
      <c r="A26" s="37">
        <v>18</v>
      </c>
      <c r="B26" s="162">
        <f>'C. FILIACION'!B25</f>
        <v>0</v>
      </c>
      <c r="C26" s="160"/>
      <c r="D26" s="160"/>
      <c r="E26" s="160"/>
      <c r="F26" s="160"/>
      <c r="G26" s="160"/>
      <c r="H26" s="160"/>
      <c r="I26" s="160"/>
      <c r="J26" s="160"/>
      <c r="K26" s="160"/>
      <c r="L26" s="160"/>
      <c r="M26" s="160"/>
      <c r="N26" s="160"/>
      <c r="O26" s="161" t="str">
        <f t="shared" si="0"/>
        <v/>
      </c>
      <c r="P26" s="160"/>
      <c r="Q26" s="160"/>
      <c r="R26" s="160"/>
      <c r="S26" s="160"/>
      <c r="T26" s="160"/>
      <c r="U26" s="160"/>
      <c r="V26" s="160"/>
      <c r="W26" s="160"/>
      <c r="X26" s="160"/>
      <c r="Y26" s="160"/>
      <c r="Z26" s="160"/>
      <c r="AA26" s="160"/>
      <c r="AB26" s="161" t="str">
        <f t="shared" si="1"/>
        <v/>
      </c>
      <c r="AC26" s="160"/>
      <c r="AD26" s="160"/>
      <c r="AE26" s="161">
        <f t="shared" si="3"/>
        <v>0</v>
      </c>
      <c r="AF26" s="137" t="str">
        <f t="shared" si="5"/>
        <v>ED</v>
      </c>
      <c r="AG26" s="161">
        <f t="shared" si="2"/>
        <v>0</v>
      </c>
      <c r="AH26" s="230" t="b">
        <f t="shared" si="4"/>
        <v>0</v>
      </c>
      <c r="AI26" s="230"/>
      <c r="AJ26" s="230"/>
      <c r="AK26" s="230"/>
      <c r="AL26" s="230"/>
      <c r="AM26" s="230"/>
      <c r="AN26" s="185"/>
      <c r="AO26" s="185"/>
      <c r="AP26" s="185"/>
      <c r="AQ26" s="185"/>
      <c r="AR26" s="186"/>
    </row>
    <row r="27" spans="1:44" ht="12" customHeight="1" x14ac:dyDescent="0.4">
      <c r="A27" s="37">
        <v>19</v>
      </c>
      <c r="B27" s="162">
        <f>'C. FILIACION'!B26</f>
        <v>0</v>
      </c>
      <c r="C27" s="160"/>
      <c r="D27" s="160"/>
      <c r="E27" s="160"/>
      <c r="F27" s="160"/>
      <c r="G27" s="160"/>
      <c r="H27" s="160"/>
      <c r="I27" s="160"/>
      <c r="J27" s="160"/>
      <c r="K27" s="160"/>
      <c r="L27" s="160"/>
      <c r="M27" s="160"/>
      <c r="N27" s="160"/>
      <c r="O27" s="161" t="str">
        <f t="shared" si="0"/>
        <v/>
      </c>
      <c r="P27" s="160"/>
      <c r="Q27" s="160"/>
      <c r="R27" s="160"/>
      <c r="S27" s="160"/>
      <c r="T27" s="160"/>
      <c r="U27" s="160"/>
      <c r="V27" s="160"/>
      <c r="W27" s="160"/>
      <c r="X27" s="160"/>
      <c r="Y27" s="160"/>
      <c r="Z27" s="160"/>
      <c r="AA27" s="160"/>
      <c r="AB27" s="161" t="str">
        <f t="shared" si="1"/>
        <v/>
      </c>
      <c r="AC27" s="160"/>
      <c r="AD27" s="160"/>
      <c r="AE27" s="161">
        <f t="shared" si="3"/>
        <v>0</v>
      </c>
      <c r="AF27" s="137" t="str">
        <f t="shared" si="5"/>
        <v>ED</v>
      </c>
      <c r="AG27" s="161">
        <f t="shared" si="2"/>
        <v>0</v>
      </c>
      <c r="AH27" s="230" t="b">
        <f t="shared" si="4"/>
        <v>0</v>
      </c>
      <c r="AI27" s="230"/>
      <c r="AJ27" s="230"/>
      <c r="AK27" s="230"/>
      <c r="AL27" s="230"/>
      <c r="AM27" s="230"/>
      <c r="AN27" s="185"/>
      <c r="AO27" s="185"/>
      <c r="AP27" s="185"/>
      <c r="AQ27" s="185"/>
      <c r="AR27" s="186"/>
    </row>
    <row r="28" spans="1:44" ht="12" customHeight="1" x14ac:dyDescent="0.4">
      <c r="A28" s="37">
        <v>20</v>
      </c>
      <c r="B28" s="162">
        <f>'C. FILIACION'!B27</f>
        <v>0</v>
      </c>
      <c r="C28" s="160"/>
      <c r="D28" s="160"/>
      <c r="E28" s="160"/>
      <c r="F28" s="160"/>
      <c r="G28" s="160"/>
      <c r="H28" s="160"/>
      <c r="I28" s="160"/>
      <c r="J28" s="160"/>
      <c r="K28" s="160"/>
      <c r="L28" s="160"/>
      <c r="M28" s="160"/>
      <c r="N28" s="160"/>
      <c r="O28" s="161" t="str">
        <f t="shared" si="0"/>
        <v/>
      </c>
      <c r="P28" s="160"/>
      <c r="Q28" s="160"/>
      <c r="R28" s="160"/>
      <c r="S28" s="160"/>
      <c r="T28" s="160"/>
      <c r="U28" s="160"/>
      <c r="V28" s="160"/>
      <c r="W28" s="160"/>
      <c r="X28" s="160"/>
      <c r="Y28" s="160"/>
      <c r="Z28" s="160"/>
      <c r="AA28" s="160"/>
      <c r="AB28" s="161" t="str">
        <f t="shared" si="1"/>
        <v/>
      </c>
      <c r="AC28" s="160"/>
      <c r="AD28" s="160"/>
      <c r="AE28" s="161">
        <f t="shared" si="3"/>
        <v>0</v>
      </c>
      <c r="AF28" s="137" t="str">
        <f t="shared" si="5"/>
        <v>ED</v>
      </c>
      <c r="AG28" s="161">
        <f t="shared" si="2"/>
        <v>0</v>
      </c>
      <c r="AH28" s="230" t="b">
        <f t="shared" si="4"/>
        <v>0</v>
      </c>
      <c r="AI28" s="230"/>
      <c r="AJ28" s="230"/>
      <c r="AK28" s="230"/>
      <c r="AL28" s="230"/>
      <c r="AM28" s="230"/>
      <c r="AN28" s="185"/>
      <c r="AO28" s="185"/>
      <c r="AP28" s="185"/>
      <c r="AQ28" s="185"/>
      <c r="AR28" s="186"/>
    </row>
    <row r="29" spans="1:44" ht="12" customHeight="1" x14ac:dyDescent="0.4">
      <c r="A29" s="37">
        <v>21</v>
      </c>
      <c r="B29" s="162">
        <f>'C. FILIACION'!B28</f>
        <v>0</v>
      </c>
      <c r="C29" s="160"/>
      <c r="D29" s="160"/>
      <c r="E29" s="160"/>
      <c r="F29" s="160"/>
      <c r="G29" s="160"/>
      <c r="H29" s="160"/>
      <c r="I29" s="160"/>
      <c r="J29" s="160"/>
      <c r="K29" s="160"/>
      <c r="L29" s="160"/>
      <c r="M29" s="160"/>
      <c r="N29" s="160"/>
      <c r="O29" s="161" t="str">
        <f t="shared" si="0"/>
        <v/>
      </c>
      <c r="P29" s="160"/>
      <c r="Q29" s="160"/>
      <c r="R29" s="160"/>
      <c r="S29" s="160"/>
      <c r="T29" s="160"/>
      <c r="U29" s="160"/>
      <c r="V29" s="160"/>
      <c r="W29" s="160"/>
      <c r="X29" s="160"/>
      <c r="Y29" s="160"/>
      <c r="Z29" s="160"/>
      <c r="AA29" s="160"/>
      <c r="AB29" s="161" t="str">
        <f t="shared" si="1"/>
        <v/>
      </c>
      <c r="AC29" s="160"/>
      <c r="AD29" s="160"/>
      <c r="AE29" s="161">
        <f t="shared" si="3"/>
        <v>0</v>
      </c>
      <c r="AF29" s="137" t="str">
        <f t="shared" si="5"/>
        <v>ED</v>
      </c>
      <c r="AG29" s="161">
        <f t="shared" si="2"/>
        <v>0</v>
      </c>
      <c r="AH29" s="230" t="b">
        <f t="shared" si="4"/>
        <v>0</v>
      </c>
      <c r="AI29" s="230"/>
      <c r="AJ29" s="230"/>
      <c r="AK29" s="230"/>
      <c r="AL29" s="230"/>
      <c r="AM29" s="230"/>
      <c r="AN29" s="185"/>
      <c r="AO29" s="185"/>
      <c r="AP29" s="185"/>
      <c r="AQ29" s="185"/>
      <c r="AR29" s="186"/>
    </row>
    <row r="30" spans="1:44" ht="12" customHeight="1" x14ac:dyDescent="0.4">
      <c r="A30" s="37">
        <v>22</v>
      </c>
      <c r="B30" s="162">
        <f>'C. FILIACION'!B29</f>
        <v>0</v>
      </c>
      <c r="C30" s="160"/>
      <c r="D30" s="160"/>
      <c r="E30" s="160"/>
      <c r="F30" s="160"/>
      <c r="G30" s="160"/>
      <c r="H30" s="160"/>
      <c r="I30" s="160"/>
      <c r="J30" s="160"/>
      <c r="K30" s="160"/>
      <c r="L30" s="160"/>
      <c r="M30" s="160"/>
      <c r="N30" s="160"/>
      <c r="O30" s="161" t="str">
        <f t="shared" si="0"/>
        <v/>
      </c>
      <c r="P30" s="160"/>
      <c r="Q30" s="160"/>
      <c r="R30" s="160"/>
      <c r="S30" s="160"/>
      <c r="T30" s="160"/>
      <c r="U30" s="160"/>
      <c r="V30" s="160"/>
      <c r="W30" s="160"/>
      <c r="X30" s="160"/>
      <c r="Y30" s="160"/>
      <c r="Z30" s="160"/>
      <c r="AA30" s="160"/>
      <c r="AB30" s="161" t="str">
        <f t="shared" si="1"/>
        <v/>
      </c>
      <c r="AC30" s="160"/>
      <c r="AD30" s="160"/>
      <c r="AE30" s="161">
        <f t="shared" si="3"/>
        <v>0</v>
      </c>
      <c r="AF30" s="137" t="str">
        <f t="shared" si="5"/>
        <v>ED</v>
      </c>
      <c r="AG30" s="161">
        <f t="shared" si="2"/>
        <v>0</v>
      </c>
      <c r="AH30" s="230" t="b">
        <f t="shared" si="4"/>
        <v>0</v>
      </c>
      <c r="AI30" s="230"/>
      <c r="AJ30" s="230"/>
      <c r="AK30" s="230"/>
      <c r="AL30" s="230"/>
      <c r="AM30" s="230"/>
      <c r="AN30" s="185"/>
      <c r="AO30" s="185"/>
      <c r="AP30" s="185"/>
      <c r="AQ30" s="185"/>
      <c r="AR30" s="186"/>
    </row>
    <row r="31" spans="1:44" ht="12" customHeight="1" x14ac:dyDescent="0.4">
      <c r="A31" s="37">
        <v>23</v>
      </c>
      <c r="B31" s="162">
        <f>'C. FILIACION'!B30</f>
        <v>0</v>
      </c>
      <c r="C31" s="160"/>
      <c r="D31" s="160"/>
      <c r="E31" s="160"/>
      <c r="F31" s="160"/>
      <c r="G31" s="160"/>
      <c r="H31" s="160"/>
      <c r="I31" s="160"/>
      <c r="J31" s="160"/>
      <c r="K31" s="160"/>
      <c r="L31" s="160"/>
      <c r="M31" s="160"/>
      <c r="N31" s="160"/>
      <c r="O31" s="161" t="str">
        <f t="shared" si="0"/>
        <v/>
      </c>
      <c r="P31" s="160"/>
      <c r="Q31" s="160"/>
      <c r="R31" s="160"/>
      <c r="S31" s="160"/>
      <c r="T31" s="160"/>
      <c r="U31" s="160"/>
      <c r="V31" s="160"/>
      <c r="W31" s="160"/>
      <c r="X31" s="160"/>
      <c r="Y31" s="160"/>
      <c r="Z31" s="160"/>
      <c r="AA31" s="160"/>
      <c r="AB31" s="161" t="str">
        <f t="shared" si="1"/>
        <v/>
      </c>
      <c r="AC31" s="160"/>
      <c r="AD31" s="160"/>
      <c r="AE31" s="161">
        <f t="shared" si="3"/>
        <v>0</v>
      </c>
      <c r="AF31" s="137" t="str">
        <f t="shared" si="5"/>
        <v>ED</v>
      </c>
      <c r="AG31" s="161">
        <f t="shared" si="2"/>
        <v>0</v>
      </c>
      <c r="AH31" s="230" t="b">
        <f t="shared" si="4"/>
        <v>0</v>
      </c>
      <c r="AI31" s="230"/>
      <c r="AJ31" s="230"/>
      <c r="AK31" s="230"/>
      <c r="AL31" s="230"/>
      <c r="AM31" s="230"/>
      <c r="AN31" s="185"/>
      <c r="AO31" s="185"/>
      <c r="AP31" s="185"/>
      <c r="AQ31" s="185"/>
      <c r="AR31" s="186"/>
    </row>
    <row r="32" spans="1:44" ht="12" customHeight="1" x14ac:dyDescent="0.4">
      <c r="A32" s="37">
        <v>24</v>
      </c>
      <c r="B32" s="162">
        <f>'C. FILIACION'!B31</f>
        <v>0</v>
      </c>
      <c r="C32" s="160"/>
      <c r="D32" s="160"/>
      <c r="E32" s="160"/>
      <c r="F32" s="160"/>
      <c r="G32" s="160"/>
      <c r="H32" s="160"/>
      <c r="I32" s="160"/>
      <c r="J32" s="160"/>
      <c r="K32" s="160"/>
      <c r="L32" s="160"/>
      <c r="M32" s="160"/>
      <c r="N32" s="160"/>
      <c r="O32" s="161" t="str">
        <f t="shared" si="0"/>
        <v/>
      </c>
      <c r="P32" s="160"/>
      <c r="Q32" s="160"/>
      <c r="R32" s="160"/>
      <c r="S32" s="160"/>
      <c r="T32" s="160"/>
      <c r="U32" s="160"/>
      <c r="V32" s="160"/>
      <c r="W32" s="160"/>
      <c r="X32" s="160"/>
      <c r="Y32" s="160"/>
      <c r="Z32" s="160"/>
      <c r="AA32" s="160"/>
      <c r="AB32" s="161" t="str">
        <f t="shared" si="1"/>
        <v/>
      </c>
      <c r="AC32" s="160"/>
      <c r="AD32" s="160"/>
      <c r="AE32" s="161">
        <f t="shared" si="3"/>
        <v>0</v>
      </c>
      <c r="AF32" s="137" t="str">
        <f t="shared" si="5"/>
        <v>ED</v>
      </c>
      <c r="AG32" s="161">
        <f t="shared" si="2"/>
        <v>0</v>
      </c>
      <c r="AH32" s="230" t="b">
        <f t="shared" si="4"/>
        <v>0</v>
      </c>
      <c r="AI32" s="230"/>
      <c r="AJ32" s="230"/>
      <c r="AK32" s="230"/>
      <c r="AL32" s="230"/>
      <c r="AM32" s="230"/>
      <c r="AN32" s="185"/>
      <c r="AO32" s="185"/>
      <c r="AP32" s="185"/>
      <c r="AQ32" s="185"/>
      <c r="AR32" s="186"/>
    </row>
    <row r="33" spans="1:44" ht="12" customHeight="1" x14ac:dyDescent="0.4">
      <c r="A33" s="37">
        <v>25</v>
      </c>
      <c r="B33" s="162">
        <f>'C. FILIACION'!B32</f>
        <v>0</v>
      </c>
      <c r="C33" s="160"/>
      <c r="D33" s="160"/>
      <c r="E33" s="160"/>
      <c r="F33" s="160"/>
      <c r="G33" s="160"/>
      <c r="H33" s="160"/>
      <c r="I33" s="160"/>
      <c r="J33" s="160"/>
      <c r="K33" s="160"/>
      <c r="L33" s="160"/>
      <c r="M33" s="160"/>
      <c r="N33" s="160"/>
      <c r="O33" s="161" t="str">
        <f t="shared" si="0"/>
        <v/>
      </c>
      <c r="P33" s="160"/>
      <c r="Q33" s="160"/>
      <c r="R33" s="160"/>
      <c r="S33" s="160"/>
      <c r="T33" s="160"/>
      <c r="U33" s="160"/>
      <c r="V33" s="160"/>
      <c r="W33" s="160"/>
      <c r="X33" s="160"/>
      <c r="Y33" s="160"/>
      <c r="Z33" s="160"/>
      <c r="AA33" s="160"/>
      <c r="AB33" s="161" t="str">
        <f t="shared" si="1"/>
        <v/>
      </c>
      <c r="AC33" s="160"/>
      <c r="AD33" s="160"/>
      <c r="AE33" s="161">
        <f t="shared" si="3"/>
        <v>0</v>
      </c>
      <c r="AF33" s="137" t="str">
        <f t="shared" si="5"/>
        <v>ED</v>
      </c>
      <c r="AG33" s="161">
        <f t="shared" si="2"/>
        <v>0</v>
      </c>
      <c r="AH33" s="230" t="b">
        <f t="shared" si="4"/>
        <v>0</v>
      </c>
      <c r="AI33" s="230"/>
      <c r="AJ33" s="230"/>
      <c r="AK33" s="230"/>
      <c r="AL33" s="230"/>
      <c r="AM33" s="230"/>
      <c r="AN33" s="185"/>
      <c r="AO33" s="185"/>
      <c r="AP33" s="185"/>
      <c r="AQ33" s="185"/>
      <c r="AR33" s="186"/>
    </row>
    <row r="34" spans="1:44" ht="12" customHeight="1" x14ac:dyDescent="0.4">
      <c r="A34" s="37">
        <v>26</v>
      </c>
      <c r="B34" s="162">
        <f>'C. FILIACION'!B33</f>
        <v>0</v>
      </c>
      <c r="C34" s="160"/>
      <c r="D34" s="160"/>
      <c r="E34" s="160"/>
      <c r="F34" s="160"/>
      <c r="G34" s="160"/>
      <c r="H34" s="160"/>
      <c r="I34" s="160"/>
      <c r="J34" s="160"/>
      <c r="K34" s="160"/>
      <c r="L34" s="160"/>
      <c r="M34" s="160"/>
      <c r="N34" s="160"/>
      <c r="O34" s="161" t="str">
        <f t="shared" si="0"/>
        <v/>
      </c>
      <c r="P34" s="160"/>
      <c r="Q34" s="160"/>
      <c r="R34" s="160"/>
      <c r="S34" s="160"/>
      <c r="T34" s="160"/>
      <c r="U34" s="160"/>
      <c r="V34" s="160"/>
      <c r="W34" s="160"/>
      <c r="X34" s="160"/>
      <c r="Y34" s="160"/>
      <c r="Z34" s="160"/>
      <c r="AA34" s="160"/>
      <c r="AB34" s="161" t="str">
        <f t="shared" si="1"/>
        <v/>
      </c>
      <c r="AC34" s="160"/>
      <c r="AD34" s="160"/>
      <c r="AE34" s="161">
        <f t="shared" si="3"/>
        <v>0</v>
      </c>
      <c r="AF34" s="137" t="str">
        <f t="shared" si="5"/>
        <v>ED</v>
      </c>
      <c r="AG34" s="161">
        <f t="shared" si="2"/>
        <v>0</v>
      </c>
      <c r="AH34" s="230" t="b">
        <f t="shared" si="4"/>
        <v>0</v>
      </c>
      <c r="AI34" s="230"/>
      <c r="AJ34" s="230"/>
      <c r="AK34" s="230"/>
      <c r="AL34" s="230"/>
      <c r="AM34" s="230"/>
      <c r="AN34" s="185"/>
      <c r="AO34" s="185"/>
      <c r="AP34" s="185"/>
      <c r="AQ34" s="185"/>
      <c r="AR34" s="186"/>
    </row>
    <row r="35" spans="1:44" ht="12" customHeight="1" x14ac:dyDescent="0.4">
      <c r="A35" s="37">
        <v>27</v>
      </c>
      <c r="B35" s="162">
        <f>'C. FILIACION'!B34</f>
        <v>0</v>
      </c>
      <c r="C35" s="160"/>
      <c r="D35" s="160"/>
      <c r="E35" s="160"/>
      <c r="F35" s="160"/>
      <c r="G35" s="160"/>
      <c r="H35" s="160"/>
      <c r="I35" s="160"/>
      <c r="J35" s="160"/>
      <c r="K35" s="160"/>
      <c r="L35" s="160"/>
      <c r="M35" s="160"/>
      <c r="N35" s="160"/>
      <c r="O35" s="161" t="str">
        <f t="shared" si="0"/>
        <v/>
      </c>
      <c r="P35" s="160"/>
      <c r="Q35" s="160"/>
      <c r="R35" s="160"/>
      <c r="S35" s="160"/>
      <c r="T35" s="160"/>
      <c r="U35" s="160"/>
      <c r="V35" s="160"/>
      <c r="W35" s="160"/>
      <c r="X35" s="160"/>
      <c r="Y35" s="160"/>
      <c r="Z35" s="160"/>
      <c r="AA35" s="160"/>
      <c r="AB35" s="161" t="str">
        <f t="shared" si="1"/>
        <v/>
      </c>
      <c r="AC35" s="160"/>
      <c r="AD35" s="160"/>
      <c r="AE35" s="161">
        <f t="shared" si="3"/>
        <v>0</v>
      </c>
      <c r="AF35" s="137" t="str">
        <f t="shared" si="5"/>
        <v>ED</v>
      </c>
      <c r="AG35" s="161">
        <f t="shared" si="2"/>
        <v>0</v>
      </c>
      <c r="AH35" s="230" t="b">
        <f t="shared" si="4"/>
        <v>0</v>
      </c>
      <c r="AI35" s="230"/>
      <c r="AJ35" s="230"/>
      <c r="AK35" s="230"/>
      <c r="AL35" s="230"/>
      <c r="AM35" s="230"/>
      <c r="AN35" s="185"/>
      <c r="AO35" s="185"/>
      <c r="AP35" s="185"/>
      <c r="AQ35" s="185"/>
      <c r="AR35" s="186"/>
    </row>
    <row r="36" spans="1:44" ht="12" customHeight="1" x14ac:dyDescent="0.4">
      <c r="A36" s="37">
        <v>28</v>
      </c>
      <c r="B36" s="162">
        <f>'C. FILIACION'!B35</f>
        <v>0</v>
      </c>
      <c r="C36" s="160"/>
      <c r="D36" s="160"/>
      <c r="E36" s="160"/>
      <c r="F36" s="160"/>
      <c r="G36" s="160"/>
      <c r="H36" s="160"/>
      <c r="I36" s="160"/>
      <c r="J36" s="160"/>
      <c r="K36" s="160"/>
      <c r="L36" s="160"/>
      <c r="M36" s="160"/>
      <c r="N36" s="160"/>
      <c r="O36" s="161" t="str">
        <f t="shared" si="0"/>
        <v/>
      </c>
      <c r="P36" s="160"/>
      <c r="Q36" s="160"/>
      <c r="R36" s="160"/>
      <c r="S36" s="160"/>
      <c r="T36" s="160"/>
      <c r="U36" s="160"/>
      <c r="V36" s="160"/>
      <c r="W36" s="160"/>
      <c r="X36" s="160"/>
      <c r="Y36" s="160"/>
      <c r="Z36" s="160"/>
      <c r="AA36" s="160"/>
      <c r="AB36" s="161" t="str">
        <f t="shared" si="1"/>
        <v/>
      </c>
      <c r="AC36" s="160"/>
      <c r="AD36" s="160"/>
      <c r="AE36" s="161">
        <f t="shared" si="3"/>
        <v>0</v>
      </c>
      <c r="AF36" s="137" t="str">
        <f t="shared" si="5"/>
        <v>ED</v>
      </c>
      <c r="AG36" s="161">
        <f t="shared" si="2"/>
        <v>0</v>
      </c>
      <c r="AH36" s="230" t="b">
        <f t="shared" si="4"/>
        <v>0</v>
      </c>
      <c r="AI36" s="230"/>
      <c r="AJ36" s="230"/>
      <c r="AK36" s="230"/>
      <c r="AL36" s="230"/>
      <c r="AM36" s="230"/>
      <c r="AN36" s="185"/>
      <c r="AO36" s="185"/>
      <c r="AP36" s="185"/>
      <c r="AQ36" s="185"/>
      <c r="AR36" s="186"/>
    </row>
    <row r="37" spans="1:44" ht="12" customHeight="1" x14ac:dyDescent="0.4">
      <c r="A37" s="37">
        <v>29</v>
      </c>
      <c r="B37" s="162">
        <f>'C. FILIACION'!B36</f>
        <v>0</v>
      </c>
      <c r="C37" s="160"/>
      <c r="D37" s="160"/>
      <c r="E37" s="160"/>
      <c r="F37" s="160"/>
      <c r="G37" s="160"/>
      <c r="H37" s="160"/>
      <c r="I37" s="160"/>
      <c r="J37" s="160"/>
      <c r="K37" s="160"/>
      <c r="L37" s="160"/>
      <c r="M37" s="160"/>
      <c r="N37" s="160"/>
      <c r="O37" s="161" t="str">
        <f t="shared" si="0"/>
        <v/>
      </c>
      <c r="P37" s="160"/>
      <c r="Q37" s="160"/>
      <c r="R37" s="160"/>
      <c r="S37" s="160"/>
      <c r="T37" s="160"/>
      <c r="U37" s="160"/>
      <c r="V37" s="160"/>
      <c r="W37" s="160"/>
      <c r="X37" s="160"/>
      <c r="Y37" s="160"/>
      <c r="Z37" s="160"/>
      <c r="AA37" s="160"/>
      <c r="AB37" s="161" t="str">
        <f t="shared" si="1"/>
        <v/>
      </c>
      <c r="AC37" s="160"/>
      <c r="AD37" s="160"/>
      <c r="AE37" s="161">
        <f t="shared" si="3"/>
        <v>0</v>
      </c>
      <c r="AF37" s="137" t="str">
        <f t="shared" si="5"/>
        <v>ED</v>
      </c>
      <c r="AG37" s="161">
        <f t="shared" si="2"/>
        <v>0</v>
      </c>
      <c r="AH37" s="230" t="b">
        <f t="shared" si="4"/>
        <v>0</v>
      </c>
      <c r="AI37" s="230"/>
      <c r="AJ37" s="230"/>
      <c r="AK37" s="230"/>
      <c r="AL37" s="230"/>
      <c r="AM37" s="230"/>
      <c r="AN37" s="185"/>
      <c r="AO37" s="185"/>
      <c r="AP37" s="185"/>
      <c r="AQ37" s="185"/>
      <c r="AR37" s="186"/>
    </row>
    <row r="38" spans="1:44" ht="12" customHeight="1" x14ac:dyDescent="0.4">
      <c r="A38" s="37">
        <v>30</v>
      </c>
      <c r="B38" s="162">
        <f>'C. FILIACION'!B37</f>
        <v>0</v>
      </c>
      <c r="C38" s="160"/>
      <c r="D38" s="160"/>
      <c r="E38" s="160"/>
      <c r="F38" s="160"/>
      <c r="G38" s="160"/>
      <c r="H38" s="160"/>
      <c r="I38" s="160"/>
      <c r="J38" s="160"/>
      <c r="K38" s="160"/>
      <c r="L38" s="160"/>
      <c r="M38" s="160"/>
      <c r="N38" s="160"/>
      <c r="O38" s="161" t="str">
        <f t="shared" si="0"/>
        <v/>
      </c>
      <c r="P38" s="160"/>
      <c r="Q38" s="160"/>
      <c r="R38" s="160"/>
      <c r="S38" s="160"/>
      <c r="T38" s="160"/>
      <c r="U38" s="160"/>
      <c r="V38" s="160"/>
      <c r="W38" s="160"/>
      <c r="X38" s="160"/>
      <c r="Y38" s="160"/>
      <c r="Z38" s="160"/>
      <c r="AA38" s="160"/>
      <c r="AB38" s="161" t="str">
        <f t="shared" si="1"/>
        <v/>
      </c>
      <c r="AC38" s="160"/>
      <c r="AD38" s="160"/>
      <c r="AE38" s="161">
        <f t="shared" si="3"/>
        <v>0</v>
      </c>
      <c r="AF38" s="137" t="str">
        <f t="shared" si="5"/>
        <v>ED</v>
      </c>
      <c r="AG38" s="161">
        <f t="shared" si="2"/>
        <v>0</v>
      </c>
      <c r="AH38" s="230" t="b">
        <f t="shared" si="4"/>
        <v>0</v>
      </c>
      <c r="AI38" s="230"/>
      <c r="AJ38" s="230"/>
      <c r="AK38" s="230"/>
      <c r="AL38" s="230"/>
      <c r="AM38" s="230"/>
      <c r="AN38" s="185"/>
      <c r="AO38" s="185"/>
      <c r="AP38" s="185"/>
      <c r="AQ38" s="185"/>
      <c r="AR38" s="186"/>
    </row>
    <row r="39" spans="1:44" ht="12" customHeight="1" x14ac:dyDescent="0.4">
      <c r="A39" s="37">
        <v>31</v>
      </c>
      <c r="B39" s="162">
        <f>'C. FILIACION'!B38</f>
        <v>0</v>
      </c>
      <c r="C39" s="160"/>
      <c r="D39" s="160"/>
      <c r="E39" s="160"/>
      <c r="F39" s="160"/>
      <c r="G39" s="160"/>
      <c r="H39" s="160"/>
      <c r="I39" s="160"/>
      <c r="J39" s="160"/>
      <c r="K39" s="160"/>
      <c r="L39" s="160"/>
      <c r="M39" s="160"/>
      <c r="N39" s="160"/>
      <c r="O39" s="161" t="str">
        <f t="shared" si="0"/>
        <v/>
      </c>
      <c r="P39" s="160"/>
      <c r="Q39" s="160"/>
      <c r="R39" s="160"/>
      <c r="S39" s="160"/>
      <c r="T39" s="160"/>
      <c r="U39" s="160"/>
      <c r="V39" s="160"/>
      <c r="W39" s="160"/>
      <c r="X39" s="160"/>
      <c r="Y39" s="160"/>
      <c r="Z39" s="160"/>
      <c r="AA39" s="160"/>
      <c r="AB39" s="161" t="str">
        <f t="shared" si="1"/>
        <v/>
      </c>
      <c r="AC39" s="160"/>
      <c r="AD39" s="160"/>
      <c r="AE39" s="161">
        <f t="shared" si="3"/>
        <v>0</v>
      </c>
      <c r="AF39" s="137" t="str">
        <f t="shared" si="5"/>
        <v>ED</v>
      </c>
      <c r="AG39" s="161">
        <f t="shared" si="2"/>
        <v>0</v>
      </c>
      <c r="AH39" s="230" t="b">
        <f t="shared" si="4"/>
        <v>0</v>
      </c>
      <c r="AI39" s="230"/>
      <c r="AJ39" s="230"/>
      <c r="AK39" s="230"/>
      <c r="AL39" s="230"/>
      <c r="AM39" s="230"/>
      <c r="AN39" s="185"/>
      <c r="AO39" s="185"/>
      <c r="AP39" s="185"/>
      <c r="AQ39" s="185"/>
      <c r="AR39" s="186"/>
    </row>
    <row r="40" spans="1:44" ht="12" customHeight="1" x14ac:dyDescent="0.4">
      <c r="A40" s="37">
        <v>32</v>
      </c>
      <c r="B40" s="162">
        <f>'C. FILIACION'!B39</f>
        <v>0</v>
      </c>
      <c r="C40" s="160"/>
      <c r="D40" s="160"/>
      <c r="E40" s="160"/>
      <c r="F40" s="160"/>
      <c r="G40" s="160"/>
      <c r="H40" s="160"/>
      <c r="I40" s="160"/>
      <c r="J40" s="160"/>
      <c r="K40" s="160"/>
      <c r="L40" s="160"/>
      <c r="M40" s="160"/>
      <c r="N40" s="160"/>
      <c r="O40" s="161" t="str">
        <f t="shared" si="0"/>
        <v/>
      </c>
      <c r="P40" s="160"/>
      <c r="Q40" s="160"/>
      <c r="R40" s="160"/>
      <c r="S40" s="160"/>
      <c r="T40" s="160"/>
      <c r="U40" s="160"/>
      <c r="V40" s="160"/>
      <c r="W40" s="160"/>
      <c r="X40" s="160"/>
      <c r="Y40" s="160"/>
      <c r="Z40" s="160"/>
      <c r="AA40" s="160"/>
      <c r="AB40" s="161" t="str">
        <f t="shared" si="1"/>
        <v/>
      </c>
      <c r="AC40" s="160"/>
      <c r="AD40" s="160"/>
      <c r="AE40" s="161">
        <f t="shared" si="3"/>
        <v>0</v>
      </c>
      <c r="AF40" s="137" t="str">
        <f t="shared" si="5"/>
        <v>ED</v>
      </c>
      <c r="AG40" s="161">
        <f t="shared" si="2"/>
        <v>0</v>
      </c>
      <c r="AH40" s="230" t="b">
        <f t="shared" si="4"/>
        <v>0</v>
      </c>
      <c r="AI40" s="230"/>
      <c r="AJ40" s="230"/>
      <c r="AK40" s="230"/>
      <c r="AL40" s="230"/>
      <c r="AM40" s="230"/>
      <c r="AN40" s="185"/>
      <c r="AO40" s="185"/>
      <c r="AP40" s="185"/>
      <c r="AQ40" s="185"/>
      <c r="AR40" s="186"/>
    </row>
    <row r="41" spans="1:44" ht="12" customHeight="1" x14ac:dyDescent="0.4">
      <c r="A41" s="37">
        <v>33</v>
      </c>
      <c r="B41" s="162">
        <f>'C. FILIACION'!B40</f>
        <v>0</v>
      </c>
      <c r="C41" s="160"/>
      <c r="D41" s="160"/>
      <c r="E41" s="160"/>
      <c r="F41" s="160"/>
      <c r="G41" s="160"/>
      <c r="H41" s="160"/>
      <c r="I41" s="160"/>
      <c r="J41" s="160"/>
      <c r="K41" s="160"/>
      <c r="L41" s="160"/>
      <c r="M41" s="160"/>
      <c r="N41" s="160"/>
      <c r="O41" s="161" t="str">
        <f t="shared" si="0"/>
        <v/>
      </c>
      <c r="P41" s="160"/>
      <c r="Q41" s="160"/>
      <c r="R41" s="160"/>
      <c r="S41" s="160"/>
      <c r="T41" s="160"/>
      <c r="U41" s="160"/>
      <c r="V41" s="160"/>
      <c r="W41" s="160"/>
      <c r="X41" s="160"/>
      <c r="Y41" s="160"/>
      <c r="Z41" s="160"/>
      <c r="AA41" s="160"/>
      <c r="AB41" s="161" t="str">
        <f t="shared" si="1"/>
        <v/>
      </c>
      <c r="AC41" s="160"/>
      <c r="AD41" s="160"/>
      <c r="AE41" s="161">
        <f t="shared" si="3"/>
        <v>0</v>
      </c>
      <c r="AF41" s="137" t="str">
        <f t="shared" si="5"/>
        <v>ED</v>
      </c>
      <c r="AG41" s="161">
        <f t="shared" si="2"/>
        <v>0</v>
      </c>
      <c r="AH41" s="230" t="b">
        <f t="shared" si="4"/>
        <v>0</v>
      </c>
      <c r="AI41" s="230"/>
      <c r="AJ41" s="230"/>
      <c r="AK41" s="230"/>
      <c r="AL41" s="230"/>
      <c r="AM41" s="230"/>
      <c r="AN41" s="185"/>
      <c r="AO41" s="185"/>
      <c r="AP41" s="185"/>
      <c r="AQ41" s="185"/>
      <c r="AR41" s="186"/>
    </row>
    <row r="42" spans="1:44" ht="12" customHeight="1" x14ac:dyDescent="0.4">
      <c r="A42" s="37">
        <v>34</v>
      </c>
      <c r="B42" s="162">
        <f>'C. FILIACION'!B41</f>
        <v>0</v>
      </c>
      <c r="C42" s="160"/>
      <c r="D42" s="160"/>
      <c r="E42" s="160"/>
      <c r="F42" s="160"/>
      <c r="G42" s="160"/>
      <c r="H42" s="160"/>
      <c r="I42" s="160"/>
      <c r="J42" s="160"/>
      <c r="K42" s="160"/>
      <c r="L42" s="160"/>
      <c r="M42" s="160"/>
      <c r="N42" s="160"/>
      <c r="O42" s="161" t="str">
        <f t="shared" si="0"/>
        <v/>
      </c>
      <c r="P42" s="160"/>
      <c r="Q42" s="160"/>
      <c r="R42" s="160"/>
      <c r="S42" s="160"/>
      <c r="T42" s="160"/>
      <c r="U42" s="160"/>
      <c r="V42" s="160"/>
      <c r="W42" s="160"/>
      <c r="X42" s="160"/>
      <c r="Y42" s="160"/>
      <c r="Z42" s="160"/>
      <c r="AA42" s="160"/>
      <c r="AB42" s="161" t="str">
        <f t="shared" si="1"/>
        <v/>
      </c>
      <c r="AC42" s="160"/>
      <c r="AD42" s="160"/>
      <c r="AE42" s="161">
        <f t="shared" si="3"/>
        <v>0</v>
      </c>
      <c r="AF42" s="137" t="str">
        <f t="shared" si="5"/>
        <v>ED</v>
      </c>
      <c r="AG42" s="161">
        <f t="shared" si="2"/>
        <v>0</v>
      </c>
      <c r="AH42" s="230" t="b">
        <f t="shared" si="4"/>
        <v>0</v>
      </c>
      <c r="AI42" s="230"/>
      <c r="AJ42" s="230"/>
      <c r="AK42" s="230"/>
      <c r="AL42" s="230"/>
      <c r="AM42" s="230"/>
      <c r="AN42" s="185"/>
      <c r="AO42" s="185"/>
      <c r="AP42" s="185"/>
      <c r="AQ42" s="185"/>
      <c r="AR42" s="186"/>
    </row>
    <row r="43" spans="1:44" ht="12" customHeight="1" x14ac:dyDescent="0.4">
      <c r="A43" s="37">
        <v>35</v>
      </c>
      <c r="B43" s="162">
        <f>'C. FILIACION'!B42</f>
        <v>0</v>
      </c>
      <c r="C43" s="160"/>
      <c r="D43" s="160"/>
      <c r="E43" s="160"/>
      <c r="F43" s="160"/>
      <c r="G43" s="160"/>
      <c r="H43" s="160"/>
      <c r="I43" s="160"/>
      <c r="J43" s="160"/>
      <c r="K43" s="160"/>
      <c r="L43" s="160"/>
      <c r="M43" s="160"/>
      <c r="N43" s="160"/>
      <c r="O43" s="161" t="str">
        <f t="shared" si="0"/>
        <v/>
      </c>
      <c r="P43" s="160"/>
      <c r="Q43" s="160"/>
      <c r="R43" s="160"/>
      <c r="S43" s="160"/>
      <c r="T43" s="160"/>
      <c r="U43" s="160"/>
      <c r="V43" s="160"/>
      <c r="W43" s="160"/>
      <c r="X43" s="160"/>
      <c r="Y43" s="160"/>
      <c r="Z43" s="160"/>
      <c r="AA43" s="160"/>
      <c r="AB43" s="161" t="str">
        <f t="shared" si="1"/>
        <v/>
      </c>
      <c r="AC43" s="160"/>
      <c r="AD43" s="160"/>
      <c r="AE43" s="161">
        <f t="shared" si="3"/>
        <v>0</v>
      </c>
      <c r="AF43" s="137" t="str">
        <f t="shared" si="5"/>
        <v>ED</v>
      </c>
      <c r="AG43" s="161">
        <f t="shared" si="2"/>
        <v>0</v>
      </c>
      <c r="AH43" s="230" t="b">
        <f t="shared" si="4"/>
        <v>0</v>
      </c>
      <c r="AI43" s="230"/>
      <c r="AJ43" s="230"/>
      <c r="AK43" s="230"/>
      <c r="AL43" s="230"/>
      <c r="AM43" s="230"/>
      <c r="AN43" s="185"/>
      <c r="AO43" s="185"/>
      <c r="AP43" s="185"/>
      <c r="AQ43" s="185"/>
      <c r="AR43" s="186"/>
    </row>
    <row r="44" spans="1:44" ht="12" customHeight="1" x14ac:dyDescent="0.4">
      <c r="A44" s="37">
        <v>36</v>
      </c>
      <c r="B44" s="162">
        <f>'C. FILIACION'!B43</f>
        <v>0</v>
      </c>
      <c r="C44" s="160"/>
      <c r="D44" s="160"/>
      <c r="E44" s="160"/>
      <c r="F44" s="160"/>
      <c r="G44" s="160"/>
      <c r="H44" s="160"/>
      <c r="I44" s="160"/>
      <c r="J44" s="160"/>
      <c r="K44" s="160"/>
      <c r="L44" s="160"/>
      <c r="M44" s="160"/>
      <c r="N44" s="160"/>
      <c r="O44" s="161" t="str">
        <f t="shared" si="0"/>
        <v/>
      </c>
      <c r="P44" s="160"/>
      <c r="Q44" s="160"/>
      <c r="R44" s="160"/>
      <c r="S44" s="160"/>
      <c r="T44" s="160"/>
      <c r="U44" s="160"/>
      <c r="V44" s="160"/>
      <c r="W44" s="160"/>
      <c r="X44" s="160"/>
      <c r="Y44" s="160"/>
      <c r="Z44" s="160"/>
      <c r="AA44" s="160"/>
      <c r="AB44" s="161" t="str">
        <f t="shared" si="1"/>
        <v/>
      </c>
      <c r="AC44" s="160"/>
      <c r="AD44" s="160"/>
      <c r="AE44" s="161">
        <f t="shared" si="3"/>
        <v>0</v>
      </c>
      <c r="AF44" s="137" t="str">
        <f t="shared" si="5"/>
        <v>ED</v>
      </c>
      <c r="AG44" s="161">
        <f t="shared" si="2"/>
        <v>0</v>
      </c>
      <c r="AH44" s="230" t="b">
        <f t="shared" si="4"/>
        <v>0</v>
      </c>
      <c r="AI44" s="230"/>
      <c r="AJ44" s="230"/>
      <c r="AK44" s="230"/>
      <c r="AL44" s="230"/>
      <c r="AM44" s="230"/>
      <c r="AN44" s="185"/>
      <c r="AO44" s="185"/>
      <c r="AP44" s="185"/>
      <c r="AQ44" s="185"/>
      <c r="AR44" s="186"/>
    </row>
  </sheetData>
  <sheetProtection algorithmName="SHA-512" hashValue="hp2KEILZtzNzlOHL4iBV1irsPXdkyqahkZDw1lAAzZHkNVJ90mNC0GP0fCL6h8lLHG/P+nlW/KdjuTqhXydSog==" saltValue="4K4ymReCvQcZ7laSmlkJPg==" spinCount="100000" sheet="1" objects="1" scenarios="1"/>
  <mergeCells count="64">
    <mergeCell ref="AH43:AM43"/>
    <mergeCell ref="AH44:AM44"/>
    <mergeCell ref="AH37:AM37"/>
    <mergeCell ref="AH38:AM38"/>
    <mergeCell ref="AH39:AM39"/>
    <mergeCell ref="AH40:AM40"/>
    <mergeCell ref="AH41:AM41"/>
    <mergeCell ref="AH42:AM42"/>
    <mergeCell ref="AH36:AM36"/>
    <mergeCell ref="AH25:AM25"/>
    <mergeCell ref="AH26:AM26"/>
    <mergeCell ref="AH27:AM27"/>
    <mergeCell ref="AH28:AM28"/>
    <mergeCell ref="AH29:AM29"/>
    <mergeCell ref="AH30:AM30"/>
    <mergeCell ref="AH31:AM31"/>
    <mergeCell ref="AH32:AM32"/>
    <mergeCell ref="AH33:AM33"/>
    <mergeCell ref="AH34:AM34"/>
    <mergeCell ref="AH35:AM35"/>
    <mergeCell ref="AH24:AM24"/>
    <mergeCell ref="AH13:AM13"/>
    <mergeCell ref="AH14:AM14"/>
    <mergeCell ref="AH15:AM15"/>
    <mergeCell ref="AH16:AM16"/>
    <mergeCell ref="AH17:AM17"/>
    <mergeCell ref="AH18:AM18"/>
    <mergeCell ref="AH19:AM19"/>
    <mergeCell ref="AH20:AM20"/>
    <mergeCell ref="AH21:AM21"/>
    <mergeCell ref="AH22:AM22"/>
    <mergeCell ref="AH23:AM23"/>
    <mergeCell ref="AH10:AM10"/>
    <mergeCell ref="AO10:AP10"/>
    <mergeCell ref="AH11:AM11"/>
    <mergeCell ref="AO11:AP11"/>
    <mergeCell ref="AH12:AM12"/>
    <mergeCell ref="AO12:AP12"/>
    <mergeCell ref="AO9:AP9"/>
    <mergeCell ref="C6:AA6"/>
    <mergeCell ref="AB6:AE6"/>
    <mergeCell ref="C7:C8"/>
    <mergeCell ref="D7:N7"/>
    <mergeCell ref="O7:O8"/>
    <mergeCell ref="P7:Z7"/>
    <mergeCell ref="AA7:AA8"/>
    <mergeCell ref="AB7:AB8"/>
    <mergeCell ref="AC7:AC8"/>
    <mergeCell ref="AD7:AD8"/>
    <mergeCell ref="AE7:AE8"/>
    <mergeCell ref="AF7:AF8"/>
    <mergeCell ref="AG7:AG8"/>
    <mergeCell ref="AH7:AM8"/>
    <mergeCell ref="AH9:AM9"/>
    <mergeCell ref="B2:AR2"/>
    <mergeCell ref="AC3:AH3"/>
    <mergeCell ref="AI3:AM3"/>
    <mergeCell ref="AN3:AR3"/>
    <mergeCell ref="AC4:AH4"/>
    <mergeCell ref="AI4:AM4"/>
    <mergeCell ref="AN4:AR5"/>
    <mergeCell ref="S5:AA5"/>
    <mergeCell ref="AC5:AH5"/>
    <mergeCell ref="AI5:AM5"/>
  </mergeCells>
  <dataValidations count="3">
    <dataValidation type="whole" allowBlank="1" showInputMessage="1" showErrorMessage="1" sqref="AC9:AD44" xr:uid="{00000000-0002-0000-0600-000000000000}">
      <formula1>0</formula1>
      <formula2>5</formula2>
    </dataValidation>
    <dataValidation type="whole" allowBlank="1" showInputMessage="1" showErrorMessage="1" sqref="D9:N44 P9:Z44" xr:uid="{00000000-0002-0000-0600-000001000000}">
      <formula1>0</formula1>
      <formula2>35</formula2>
    </dataValidation>
    <dataValidation type="whole" allowBlank="1" showInputMessage="1" showErrorMessage="1" sqref="AA9:AA44 C9:C44" xr:uid="{00000000-0002-0000-0600-000002000000}">
      <formula1>0</formula1>
      <formula2>10</formula2>
    </dataValidation>
  </dataValidations>
  <pageMargins left="0" right="0" top="0" bottom="0" header="0.31496062992125984" footer="0.31496062992125984"/>
  <pageSetup orientation="landscape"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17">
    <tabColor theme="9" tint="-0.499984740745262"/>
  </sheetPr>
  <dimension ref="A1:AV44"/>
  <sheetViews>
    <sheetView topLeftCell="A3" zoomScale="120" zoomScaleNormal="120" workbookViewId="0">
      <selection activeCell="B9" sqref="B9"/>
    </sheetView>
  </sheetViews>
  <sheetFormatPr baseColWidth="10" defaultColWidth="8.7109375" defaultRowHeight="12.9" customHeight="1" x14ac:dyDescent="0.4"/>
  <cols>
    <col min="1" max="1" width="1.640625" customWidth="1"/>
    <col min="2" max="2" width="19.640625" customWidth="1"/>
    <col min="3" max="3" width="1.640625" customWidth="1"/>
    <col min="4" max="14" width="1.78515625" customWidth="1"/>
    <col min="15" max="15" width="1.640625" customWidth="1"/>
    <col min="16" max="26" width="1.78515625" customWidth="1"/>
    <col min="27" max="30" width="1.640625" customWidth="1"/>
    <col min="31" max="31" width="2.2109375" customWidth="1"/>
    <col min="32" max="32" width="1.78515625" customWidth="1"/>
    <col min="33" max="33" width="2.640625" customWidth="1"/>
    <col min="34" max="34" width="1.35546875" customWidth="1"/>
    <col min="35" max="38" width="1.640625" customWidth="1"/>
    <col min="39" max="39" width="0.42578125" customWidth="1"/>
    <col min="40" max="40" width="1.640625" customWidth="1"/>
    <col min="41" max="44" width="1.42578125" customWidth="1"/>
    <col min="45" max="49" width="1.640625" customWidth="1"/>
  </cols>
  <sheetData>
    <row r="1" spans="1:48" ht="5.0999999999999996" customHeight="1" x14ac:dyDescent="0.4">
      <c r="A1" s="163"/>
      <c r="B1" s="163"/>
      <c r="C1" s="163"/>
      <c r="D1" s="163"/>
      <c r="E1" s="163"/>
      <c r="F1" s="163"/>
      <c r="G1" s="163"/>
      <c r="H1" s="163"/>
      <c r="I1" s="163"/>
      <c r="J1" s="163"/>
      <c r="K1" s="163"/>
      <c r="L1" s="163"/>
      <c r="M1" s="163"/>
      <c r="N1" s="163"/>
      <c r="O1" s="163"/>
      <c r="P1" s="163"/>
      <c r="Q1" s="163"/>
      <c r="R1" s="163"/>
      <c r="S1" s="163"/>
      <c r="T1" s="163"/>
      <c r="U1" s="163"/>
      <c r="V1" s="163"/>
      <c r="W1" s="163"/>
      <c r="X1" s="163"/>
      <c r="Y1" s="163"/>
      <c r="Z1" s="163"/>
      <c r="AA1" s="163"/>
      <c r="AB1" s="163"/>
      <c r="AC1" s="163"/>
      <c r="AD1" s="163"/>
      <c r="AE1" s="163"/>
      <c r="AF1" s="163"/>
      <c r="AG1" s="163"/>
      <c r="AH1" s="163"/>
      <c r="AI1" s="163"/>
      <c r="AJ1" s="163"/>
      <c r="AK1" s="163"/>
      <c r="AL1" s="163"/>
      <c r="AM1" s="163"/>
      <c r="AN1" s="163"/>
      <c r="AO1" s="163"/>
      <c r="AP1" s="163"/>
      <c r="AQ1" s="163"/>
      <c r="AR1" s="163"/>
      <c r="AS1" s="187"/>
      <c r="AT1" s="187"/>
      <c r="AU1" s="187"/>
      <c r="AV1" s="187"/>
    </row>
    <row r="2" spans="1:48" ht="12.9" customHeight="1" x14ac:dyDescent="0.4">
      <c r="A2" s="163"/>
      <c r="B2" s="245" t="s">
        <v>114</v>
      </c>
      <c r="C2" s="245"/>
      <c r="D2" s="245"/>
      <c r="E2" s="245"/>
      <c r="F2" s="245"/>
      <c r="G2" s="245"/>
      <c r="H2" s="245"/>
      <c r="I2" s="245"/>
      <c r="J2" s="245"/>
      <c r="K2" s="245"/>
      <c r="L2" s="245"/>
      <c r="M2" s="245"/>
      <c r="N2" s="245"/>
      <c r="O2" s="245"/>
      <c r="P2" s="245"/>
      <c r="Q2" s="245"/>
      <c r="R2" s="245"/>
      <c r="S2" s="245"/>
      <c r="T2" s="245"/>
      <c r="U2" s="245"/>
      <c r="V2" s="245"/>
      <c r="W2" s="245"/>
      <c r="X2" s="245"/>
      <c r="Y2" s="245"/>
      <c r="Z2" s="245"/>
      <c r="AA2" s="245"/>
      <c r="AB2" s="245"/>
      <c r="AC2" s="245"/>
      <c r="AD2" s="245"/>
      <c r="AE2" s="245"/>
      <c r="AF2" s="245"/>
      <c r="AG2" s="245"/>
      <c r="AH2" s="245"/>
      <c r="AI2" s="245"/>
      <c r="AJ2" s="245"/>
      <c r="AK2" s="245"/>
      <c r="AL2" s="245"/>
      <c r="AM2" s="245"/>
      <c r="AN2" s="245"/>
      <c r="AO2" s="245"/>
      <c r="AP2" s="245"/>
      <c r="AQ2" s="245"/>
      <c r="AR2" s="245"/>
      <c r="AS2" s="188"/>
      <c r="AT2" s="188"/>
      <c r="AU2" s="188"/>
      <c r="AV2" s="188"/>
    </row>
    <row r="3" spans="1:48" ht="12.9" customHeight="1" thickBot="1" x14ac:dyDescent="0.45">
      <c r="A3" s="163"/>
      <c r="B3" s="164" t="s">
        <v>3</v>
      </c>
      <c r="C3" s="166">
        <f>CARÁTULA!$C$15</f>
        <v>0</v>
      </c>
      <c r="D3" s="167"/>
      <c r="E3" s="167"/>
      <c r="F3" s="167"/>
      <c r="G3" s="168"/>
      <c r="H3" s="168"/>
      <c r="I3" s="168"/>
      <c r="J3" s="168"/>
      <c r="K3" s="168"/>
      <c r="L3" s="168"/>
      <c r="M3" s="169"/>
      <c r="N3" s="169"/>
      <c r="O3" s="169" t="s">
        <v>8</v>
      </c>
      <c r="P3" s="170"/>
      <c r="Q3" s="170"/>
      <c r="R3" s="170"/>
      <c r="S3" s="171">
        <f>CARÁTULA!$C$25</f>
        <v>0</v>
      </c>
      <c r="T3" s="171"/>
      <c r="U3" s="171"/>
      <c r="V3" s="171"/>
      <c r="W3" s="171"/>
      <c r="X3" s="171"/>
      <c r="Y3" s="171"/>
      <c r="Z3" s="171"/>
      <c r="AA3" s="171"/>
      <c r="AB3" s="171"/>
      <c r="AC3" s="246" t="s">
        <v>34</v>
      </c>
      <c r="AD3" s="246"/>
      <c r="AE3" s="246"/>
      <c r="AF3" s="246"/>
      <c r="AG3" s="246"/>
      <c r="AH3" s="246"/>
      <c r="AI3" s="233">
        <f>CARÁTULA!$H$24</f>
        <v>44805</v>
      </c>
      <c r="AJ3" s="234"/>
      <c r="AK3" s="234"/>
      <c r="AL3" s="234"/>
      <c r="AM3" s="234"/>
      <c r="AN3" s="238" t="s">
        <v>40</v>
      </c>
      <c r="AO3" s="238"/>
      <c r="AP3" s="238"/>
      <c r="AQ3" s="238"/>
      <c r="AR3" s="238"/>
      <c r="AS3" s="187"/>
      <c r="AT3" s="187"/>
      <c r="AU3" s="187"/>
      <c r="AV3" s="187"/>
    </row>
    <row r="4" spans="1:48" ht="12.9" customHeight="1" x14ac:dyDescent="0.4">
      <c r="A4" s="163"/>
      <c r="B4" s="164" t="s">
        <v>6</v>
      </c>
      <c r="C4" s="166">
        <f>CARÁTULA!$C$21</f>
        <v>0</v>
      </c>
      <c r="D4" s="167"/>
      <c r="E4" s="167"/>
      <c r="F4" s="167"/>
      <c r="G4" s="168"/>
      <c r="H4" s="168"/>
      <c r="I4" s="168"/>
      <c r="J4" s="168"/>
      <c r="K4" s="168"/>
      <c r="L4" s="168"/>
      <c r="M4" s="169"/>
      <c r="N4" s="169"/>
      <c r="O4" s="169" t="s">
        <v>26</v>
      </c>
      <c r="P4" s="170"/>
      <c r="Q4" s="172"/>
      <c r="R4" s="172"/>
      <c r="S4" s="166">
        <f>CARÁTULA!$C$19</f>
        <v>0</v>
      </c>
      <c r="T4" s="167"/>
      <c r="U4" s="167"/>
      <c r="V4" s="167"/>
      <c r="W4" s="167"/>
      <c r="X4" s="167"/>
      <c r="Y4" s="167"/>
      <c r="Z4" s="167"/>
      <c r="AA4" s="167"/>
      <c r="AB4" s="167"/>
      <c r="AC4" s="246" t="s">
        <v>35</v>
      </c>
      <c r="AD4" s="246"/>
      <c r="AE4" s="246"/>
      <c r="AF4" s="246"/>
      <c r="AG4" s="246"/>
      <c r="AH4" s="246"/>
      <c r="AI4" s="233">
        <f>CARÁTULA!$J$24</f>
        <v>44896</v>
      </c>
      <c r="AJ4" s="234"/>
      <c r="AK4" s="234"/>
      <c r="AL4" s="234"/>
      <c r="AM4" s="234"/>
      <c r="AN4" s="224">
        <f ca="1">AI4-AI5</f>
        <v>300</v>
      </c>
      <c r="AO4" s="225"/>
      <c r="AP4" s="225"/>
      <c r="AQ4" s="225"/>
      <c r="AR4" s="226"/>
    </row>
    <row r="5" spans="1:48" ht="12.9" customHeight="1" thickBot="1" x14ac:dyDescent="0.45">
      <c r="A5" s="163"/>
      <c r="B5" s="164" t="s">
        <v>17</v>
      </c>
      <c r="C5" s="166">
        <f>CARÁTULA!$C$23</f>
        <v>0</v>
      </c>
      <c r="D5" s="167"/>
      <c r="E5" s="167"/>
      <c r="F5" s="167"/>
      <c r="G5" s="173"/>
      <c r="H5" s="173"/>
      <c r="I5" s="173"/>
      <c r="J5" s="173"/>
      <c r="K5" s="173"/>
      <c r="L5" s="173"/>
      <c r="M5" s="164"/>
      <c r="N5" s="164"/>
      <c r="O5" s="169" t="s">
        <v>19</v>
      </c>
      <c r="P5" s="174"/>
      <c r="Q5" s="174"/>
      <c r="R5" s="174"/>
      <c r="S5" s="239">
        <f ca="1">TODAY()</f>
        <v>44596</v>
      </c>
      <c r="T5" s="239"/>
      <c r="U5" s="239"/>
      <c r="V5" s="239"/>
      <c r="W5" s="239"/>
      <c r="X5" s="239"/>
      <c r="Y5" s="239"/>
      <c r="Z5" s="239"/>
      <c r="AA5" s="239"/>
      <c r="AB5" s="167"/>
      <c r="AC5" s="247" t="s">
        <v>36</v>
      </c>
      <c r="AD5" s="247"/>
      <c r="AE5" s="247"/>
      <c r="AF5" s="247"/>
      <c r="AG5" s="247"/>
      <c r="AH5" s="247"/>
      <c r="AI5" s="240">
        <f ca="1">TODAY()</f>
        <v>44596</v>
      </c>
      <c r="AJ5" s="241"/>
      <c r="AK5" s="241"/>
      <c r="AL5" s="241"/>
      <c r="AM5" s="241"/>
      <c r="AN5" s="227"/>
      <c r="AO5" s="228"/>
      <c r="AP5" s="228"/>
      <c r="AQ5" s="228"/>
      <c r="AR5" s="229"/>
    </row>
    <row r="6" spans="1:48" ht="12.9" customHeight="1" x14ac:dyDescent="0.4">
      <c r="A6" s="163"/>
      <c r="B6" s="164"/>
      <c r="C6" s="252" t="s">
        <v>117</v>
      </c>
      <c r="D6" s="253"/>
      <c r="E6" s="253"/>
      <c r="F6" s="253"/>
      <c r="G6" s="253"/>
      <c r="H6" s="253"/>
      <c r="I6" s="253"/>
      <c r="J6" s="253"/>
      <c r="K6" s="253"/>
      <c r="L6" s="253"/>
      <c r="M6" s="253"/>
      <c r="N6" s="253"/>
      <c r="O6" s="253"/>
      <c r="P6" s="253"/>
      <c r="Q6" s="253"/>
      <c r="R6" s="253"/>
      <c r="S6" s="253"/>
      <c r="T6" s="253"/>
      <c r="U6" s="253"/>
      <c r="V6" s="253"/>
      <c r="W6" s="253"/>
      <c r="X6" s="253"/>
      <c r="Y6" s="253"/>
      <c r="Z6" s="253"/>
      <c r="AA6" s="254"/>
      <c r="AB6" s="244" t="s">
        <v>124</v>
      </c>
      <c r="AC6" s="244"/>
      <c r="AD6" s="244"/>
      <c r="AE6" s="244"/>
      <c r="AF6" s="175"/>
      <c r="AG6" s="176"/>
      <c r="AH6" s="176"/>
      <c r="AI6" s="177"/>
      <c r="AJ6" s="178"/>
      <c r="AK6" s="178"/>
      <c r="AL6" s="178"/>
      <c r="AM6" s="178"/>
      <c r="AN6" s="179"/>
      <c r="AO6" s="179"/>
      <c r="AP6" s="179"/>
      <c r="AQ6" s="179"/>
      <c r="AR6" s="179"/>
    </row>
    <row r="7" spans="1:48" ht="12" customHeight="1" x14ac:dyDescent="0.4">
      <c r="A7" s="163"/>
      <c r="B7" s="165"/>
      <c r="C7" s="248" t="s">
        <v>118</v>
      </c>
      <c r="D7" s="250" t="s">
        <v>119</v>
      </c>
      <c r="E7" s="251"/>
      <c r="F7" s="251"/>
      <c r="G7" s="251"/>
      <c r="H7" s="251"/>
      <c r="I7" s="251"/>
      <c r="J7" s="251"/>
      <c r="K7" s="251"/>
      <c r="L7" s="251"/>
      <c r="M7" s="251"/>
      <c r="N7" s="251"/>
      <c r="O7" s="243" t="s">
        <v>42</v>
      </c>
      <c r="P7" s="250" t="s">
        <v>120</v>
      </c>
      <c r="Q7" s="251"/>
      <c r="R7" s="251"/>
      <c r="S7" s="251"/>
      <c r="T7" s="251"/>
      <c r="U7" s="251"/>
      <c r="V7" s="251"/>
      <c r="W7" s="251"/>
      <c r="X7" s="251"/>
      <c r="Y7" s="251"/>
      <c r="Z7" s="251"/>
      <c r="AA7" s="255" t="s">
        <v>121</v>
      </c>
      <c r="AB7" s="243" t="s">
        <v>42</v>
      </c>
      <c r="AC7" s="256" t="s">
        <v>122</v>
      </c>
      <c r="AD7" s="256" t="s">
        <v>123</v>
      </c>
      <c r="AE7" s="243" t="s">
        <v>42</v>
      </c>
      <c r="AF7" s="236" t="s">
        <v>81</v>
      </c>
      <c r="AG7" s="242" t="s">
        <v>43</v>
      </c>
      <c r="AH7" s="235" t="s">
        <v>44</v>
      </c>
      <c r="AI7" s="235"/>
      <c r="AJ7" s="235"/>
      <c r="AK7" s="235"/>
      <c r="AL7" s="235"/>
      <c r="AM7" s="235"/>
      <c r="AN7" s="180"/>
      <c r="AO7" s="181"/>
      <c r="AP7" s="181"/>
      <c r="AQ7" s="181"/>
      <c r="AR7" s="182"/>
    </row>
    <row r="8" spans="1:48" ht="68.099999999999994" customHeight="1" x14ac:dyDescent="0.4">
      <c r="A8" s="16" t="s">
        <v>27</v>
      </c>
      <c r="B8" s="38" t="s">
        <v>28</v>
      </c>
      <c r="C8" s="249"/>
      <c r="D8" s="40"/>
      <c r="E8" s="40"/>
      <c r="F8" s="40"/>
      <c r="G8" s="40"/>
      <c r="H8" s="40"/>
      <c r="I8" s="40"/>
      <c r="J8" s="40"/>
      <c r="K8" s="40"/>
      <c r="L8" s="40"/>
      <c r="M8" s="40"/>
      <c r="N8" s="41"/>
      <c r="O8" s="243"/>
      <c r="P8" s="50"/>
      <c r="Q8" s="40"/>
      <c r="R8" s="40"/>
      <c r="S8" s="40"/>
      <c r="T8" s="40"/>
      <c r="U8" s="40"/>
      <c r="V8" s="40"/>
      <c r="W8" s="40"/>
      <c r="X8" s="40"/>
      <c r="Y8" s="40"/>
      <c r="Z8" s="40"/>
      <c r="AA8" s="255"/>
      <c r="AB8" s="243"/>
      <c r="AC8" s="256"/>
      <c r="AD8" s="256"/>
      <c r="AE8" s="243"/>
      <c r="AF8" s="237"/>
      <c r="AG8" s="242"/>
      <c r="AH8" s="235"/>
      <c r="AI8" s="235"/>
      <c r="AJ8" s="235"/>
      <c r="AK8" s="235"/>
      <c r="AL8" s="235"/>
      <c r="AM8" s="235"/>
      <c r="AN8" s="183"/>
      <c r="AO8" s="183"/>
      <c r="AP8" s="183"/>
      <c r="AQ8" s="183"/>
      <c r="AR8" s="184"/>
    </row>
    <row r="9" spans="1:48" ht="12" customHeight="1" x14ac:dyDescent="0.4">
      <c r="A9" s="37">
        <v>1</v>
      </c>
      <c r="B9" s="162">
        <f>'C. FILIACION'!B8</f>
        <v>0</v>
      </c>
      <c r="C9" s="160">
        <v>10</v>
      </c>
      <c r="D9" s="160">
        <v>35</v>
      </c>
      <c r="E9" s="160">
        <v>35</v>
      </c>
      <c r="F9" s="160">
        <v>35</v>
      </c>
      <c r="G9" s="160">
        <v>35</v>
      </c>
      <c r="H9" s="160">
        <v>35</v>
      </c>
      <c r="I9" s="160">
        <v>35</v>
      </c>
      <c r="J9" s="160">
        <v>35</v>
      </c>
      <c r="K9" s="160">
        <v>35</v>
      </c>
      <c r="L9" s="160">
        <v>35</v>
      </c>
      <c r="M9" s="160">
        <v>35</v>
      </c>
      <c r="N9" s="160">
        <v>35</v>
      </c>
      <c r="O9" s="161">
        <f t="shared" ref="O9:O44" si="0">IFERROR(ROUND(AVERAGE(D9:N9),0),"")</f>
        <v>35</v>
      </c>
      <c r="P9" s="160">
        <v>35</v>
      </c>
      <c r="Q9" s="160">
        <v>35</v>
      </c>
      <c r="R9" s="160">
        <v>35</v>
      </c>
      <c r="S9" s="160">
        <v>35</v>
      </c>
      <c r="T9" s="160">
        <v>35</v>
      </c>
      <c r="U9" s="160">
        <v>35</v>
      </c>
      <c r="V9" s="160">
        <v>35</v>
      </c>
      <c r="W9" s="160">
        <v>35</v>
      </c>
      <c r="X9" s="160">
        <v>35</v>
      </c>
      <c r="Y9" s="160">
        <v>35</v>
      </c>
      <c r="Z9" s="160">
        <v>35</v>
      </c>
      <c r="AA9" s="160">
        <v>10</v>
      </c>
      <c r="AB9" s="161">
        <f t="shared" ref="AB9:AB44" si="1">IFERROR(ROUND(AVERAGE(P9:Z9),0),"")</f>
        <v>35</v>
      </c>
      <c r="AC9" s="160">
        <v>5</v>
      </c>
      <c r="AD9" s="160">
        <v>5</v>
      </c>
      <c r="AE9" s="161">
        <f>IFERROR((SUM(AC9,AD9)),"")</f>
        <v>10</v>
      </c>
      <c r="AF9" s="137" t="str">
        <f>IF(AG9&lt;51,"ED",IF(AG9&lt;67,"DA",IF(AG9&lt;85,"DO","DP")))</f>
        <v>DP</v>
      </c>
      <c r="AG9" s="161">
        <f t="shared" ref="AG9:AG44" si="2">IFERROR((SUM(C9,O9,AA9,AB9,AE9)),"")</f>
        <v>100</v>
      </c>
      <c r="AH9" s="230" t="str">
        <f>IF(AG9="","",(IF(AND(AG9&gt;=1,AG9&lt;=50.499),"REPROBADO",IF(AND(AG9&gt;=50.5,AG9&lt;=100),"APROBADO"))))</f>
        <v>APROBADO</v>
      </c>
      <c r="AI9" s="230"/>
      <c r="AJ9" s="230"/>
      <c r="AK9" s="230"/>
      <c r="AL9" s="230"/>
      <c r="AM9" s="230"/>
      <c r="AN9" s="138" t="s">
        <v>82</v>
      </c>
      <c r="AO9" s="232">
        <f>COUNTIF(AF9:AF44,"ED")</f>
        <v>35</v>
      </c>
      <c r="AP9" s="232"/>
      <c r="AQ9" s="185"/>
      <c r="AR9" s="186"/>
    </row>
    <row r="10" spans="1:48" ht="12" customHeight="1" x14ac:dyDescent="0.4">
      <c r="A10" s="37">
        <v>2</v>
      </c>
      <c r="B10" s="162">
        <f>'C. FILIACION'!B9</f>
        <v>0</v>
      </c>
      <c r="C10" s="160"/>
      <c r="D10" s="160"/>
      <c r="E10" s="160"/>
      <c r="F10" s="160"/>
      <c r="G10" s="160"/>
      <c r="H10" s="160"/>
      <c r="I10" s="160"/>
      <c r="J10" s="160"/>
      <c r="K10" s="160"/>
      <c r="L10" s="160"/>
      <c r="M10" s="160"/>
      <c r="N10" s="160"/>
      <c r="O10" s="161" t="str">
        <f t="shared" si="0"/>
        <v/>
      </c>
      <c r="P10" s="160"/>
      <c r="Q10" s="160"/>
      <c r="R10" s="160"/>
      <c r="S10" s="160"/>
      <c r="T10" s="160"/>
      <c r="U10" s="160"/>
      <c r="V10" s="160"/>
      <c r="W10" s="160"/>
      <c r="X10" s="160"/>
      <c r="Y10" s="160"/>
      <c r="Z10" s="160"/>
      <c r="AA10" s="160"/>
      <c r="AB10" s="161" t="str">
        <f t="shared" si="1"/>
        <v/>
      </c>
      <c r="AC10" s="160"/>
      <c r="AD10" s="160"/>
      <c r="AE10" s="161">
        <f t="shared" ref="AE10:AE44" si="3">IFERROR((SUM(AC10,AD10)),"")</f>
        <v>0</v>
      </c>
      <c r="AF10" s="137" t="str">
        <f>IF(AG10&lt;51,"ED",IF(AG10&lt;67,"DA",IF(AG10&lt;85,"DO","DP")))</f>
        <v>ED</v>
      </c>
      <c r="AG10" s="161">
        <f t="shared" si="2"/>
        <v>0</v>
      </c>
      <c r="AH10" s="230" t="b">
        <f t="shared" ref="AH10:AH44" si="4">IF(AG10="","",(IF(AND(AG10&gt;=1,AG10&lt;=50.499),"REPROBADO",IF(AND(AG10&gt;=50.5,AG10&lt;=100),"APROBADO"))))</f>
        <v>0</v>
      </c>
      <c r="AI10" s="230"/>
      <c r="AJ10" s="230"/>
      <c r="AK10" s="230"/>
      <c r="AL10" s="230"/>
      <c r="AM10" s="230"/>
      <c r="AN10" s="159" t="s">
        <v>83</v>
      </c>
      <c r="AO10" s="231">
        <f>COUNTIF(AF9:AF44,"DA")</f>
        <v>0</v>
      </c>
      <c r="AP10" s="231"/>
      <c r="AQ10" s="185"/>
      <c r="AR10" s="186"/>
    </row>
    <row r="11" spans="1:48" ht="12" customHeight="1" x14ac:dyDescent="0.4">
      <c r="A11" s="37">
        <v>3</v>
      </c>
      <c r="B11" s="162">
        <f>'C. FILIACION'!B10</f>
        <v>0</v>
      </c>
      <c r="C11" s="160"/>
      <c r="D11" s="160"/>
      <c r="E11" s="160"/>
      <c r="F11" s="160"/>
      <c r="G11" s="160"/>
      <c r="H11" s="160"/>
      <c r="I11" s="160"/>
      <c r="J11" s="160"/>
      <c r="K11" s="160"/>
      <c r="L11" s="160"/>
      <c r="M11" s="160"/>
      <c r="N11" s="160"/>
      <c r="O11" s="161" t="str">
        <f t="shared" si="0"/>
        <v/>
      </c>
      <c r="P11" s="160"/>
      <c r="Q11" s="160"/>
      <c r="R11" s="160"/>
      <c r="S11" s="160"/>
      <c r="T11" s="160"/>
      <c r="U11" s="160"/>
      <c r="V11" s="160"/>
      <c r="W11" s="160"/>
      <c r="X11" s="160"/>
      <c r="Y11" s="160"/>
      <c r="Z11" s="160"/>
      <c r="AA11" s="160"/>
      <c r="AB11" s="161" t="str">
        <f t="shared" si="1"/>
        <v/>
      </c>
      <c r="AC11" s="160"/>
      <c r="AD11" s="160"/>
      <c r="AE11" s="161">
        <f t="shared" si="3"/>
        <v>0</v>
      </c>
      <c r="AF11" s="137" t="str">
        <f t="shared" ref="AF11:AF44" si="5">IF(AG11&lt;51,"ED",IF(AG11&lt;67,"DA",IF(AG11&lt;85,"DO","DP")))</f>
        <v>ED</v>
      </c>
      <c r="AG11" s="161">
        <f t="shared" si="2"/>
        <v>0</v>
      </c>
      <c r="AH11" s="230" t="b">
        <f t="shared" si="4"/>
        <v>0</v>
      </c>
      <c r="AI11" s="230"/>
      <c r="AJ11" s="230"/>
      <c r="AK11" s="230"/>
      <c r="AL11" s="230"/>
      <c r="AM11" s="230"/>
      <c r="AN11" s="159" t="s">
        <v>84</v>
      </c>
      <c r="AO11" s="231">
        <f>COUNTIF(AF9:AF44,"DO")</f>
        <v>0</v>
      </c>
      <c r="AP11" s="231"/>
      <c r="AQ11" s="185"/>
      <c r="AR11" s="186"/>
    </row>
    <row r="12" spans="1:48" ht="12" customHeight="1" x14ac:dyDescent="0.4">
      <c r="A12" s="37">
        <v>4</v>
      </c>
      <c r="B12" s="162">
        <f>'C. FILIACION'!B11</f>
        <v>0</v>
      </c>
      <c r="C12" s="160"/>
      <c r="D12" s="160"/>
      <c r="E12" s="160"/>
      <c r="F12" s="160"/>
      <c r="G12" s="160"/>
      <c r="H12" s="160"/>
      <c r="I12" s="160"/>
      <c r="J12" s="160"/>
      <c r="K12" s="160"/>
      <c r="L12" s="160"/>
      <c r="M12" s="160"/>
      <c r="N12" s="160"/>
      <c r="O12" s="161" t="str">
        <f t="shared" si="0"/>
        <v/>
      </c>
      <c r="P12" s="160"/>
      <c r="Q12" s="160"/>
      <c r="R12" s="160"/>
      <c r="S12" s="160"/>
      <c r="T12" s="160"/>
      <c r="U12" s="160"/>
      <c r="V12" s="160"/>
      <c r="W12" s="160"/>
      <c r="X12" s="160"/>
      <c r="Y12" s="160"/>
      <c r="Z12" s="160"/>
      <c r="AA12" s="160"/>
      <c r="AB12" s="161" t="str">
        <f t="shared" si="1"/>
        <v/>
      </c>
      <c r="AC12" s="160"/>
      <c r="AD12" s="160"/>
      <c r="AE12" s="161">
        <f t="shared" si="3"/>
        <v>0</v>
      </c>
      <c r="AF12" s="137" t="str">
        <f t="shared" si="5"/>
        <v>ED</v>
      </c>
      <c r="AG12" s="161">
        <f t="shared" si="2"/>
        <v>0</v>
      </c>
      <c r="AH12" s="230" t="b">
        <f t="shared" si="4"/>
        <v>0</v>
      </c>
      <c r="AI12" s="230"/>
      <c r="AJ12" s="230"/>
      <c r="AK12" s="230"/>
      <c r="AL12" s="230"/>
      <c r="AM12" s="230"/>
      <c r="AN12" s="159" t="s">
        <v>85</v>
      </c>
      <c r="AO12" s="231">
        <f>COUNTIF(AF9:AF44,"DP")</f>
        <v>1</v>
      </c>
      <c r="AP12" s="231"/>
      <c r="AQ12" s="185"/>
      <c r="AR12" s="186"/>
    </row>
    <row r="13" spans="1:48" ht="12" customHeight="1" x14ac:dyDescent="0.4">
      <c r="A13" s="37">
        <v>5</v>
      </c>
      <c r="B13" s="162">
        <f>'C. FILIACION'!B12</f>
        <v>0</v>
      </c>
      <c r="C13" s="160"/>
      <c r="D13" s="160"/>
      <c r="E13" s="160"/>
      <c r="F13" s="160"/>
      <c r="G13" s="160"/>
      <c r="H13" s="160"/>
      <c r="I13" s="160"/>
      <c r="J13" s="160"/>
      <c r="K13" s="160"/>
      <c r="L13" s="160"/>
      <c r="M13" s="160"/>
      <c r="N13" s="160"/>
      <c r="O13" s="161" t="str">
        <f t="shared" si="0"/>
        <v/>
      </c>
      <c r="P13" s="160"/>
      <c r="Q13" s="160"/>
      <c r="R13" s="160"/>
      <c r="S13" s="160"/>
      <c r="T13" s="160"/>
      <c r="U13" s="160"/>
      <c r="V13" s="160"/>
      <c r="W13" s="160"/>
      <c r="X13" s="160"/>
      <c r="Y13" s="160"/>
      <c r="Z13" s="160"/>
      <c r="AA13" s="160"/>
      <c r="AB13" s="161" t="str">
        <f t="shared" si="1"/>
        <v/>
      </c>
      <c r="AC13" s="160"/>
      <c r="AD13" s="160"/>
      <c r="AE13" s="161">
        <f t="shared" si="3"/>
        <v>0</v>
      </c>
      <c r="AF13" s="137" t="str">
        <f t="shared" si="5"/>
        <v>ED</v>
      </c>
      <c r="AG13" s="161">
        <f t="shared" si="2"/>
        <v>0</v>
      </c>
      <c r="AH13" s="230" t="b">
        <f>IF(AG13="","",(IF(AND(AG13&gt;=1,AG13&lt;=50.499),"REPROBADO",IF(AND(AG13&gt;=50.5,AG13&lt;=100),"APROBADO"))))</f>
        <v>0</v>
      </c>
      <c r="AI13" s="230"/>
      <c r="AJ13" s="230"/>
      <c r="AK13" s="230"/>
      <c r="AL13" s="230"/>
      <c r="AM13" s="230"/>
      <c r="AN13" s="185"/>
      <c r="AO13" s="185"/>
      <c r="AP13" s="185"/>
      <c r="AQ13" s="185"/>
      <c r="AR13" s="186"/>
    </row>
    <row r="14" spans="1:48" ht="12" customHeight="1" x14ac:dyDescent="0.4">
      <c r="A14" s="37">
        <v>6</v>
      </c>
      <c r="B14" s="162">
        <f>'C. FILIACION'!B13</f>
        <v>0</v>
      </c>
      <c r="C14" s="160"/>
      <c r="D14" s="160"/>
      <c r="E14" s="160"/>
      <c r="F14" s="160"/>
      <c r="G14" s="160"/>
      <c r="H14" s="160"/>
      <c r="I14" s="160"/>
      <c r="J14" s="160"/>
      <c r="K14" s="160"/>
      <c r="L14" s="160"/>
      <c r="M14" s="160"/>
      <c r="N14" s="160"/>
      <c r="O14" s="161" t="str">
        <f t="shared" si="0"/>
        <v/>
      </c>
      <c r="P14" s="160"/>
      <c r="Q14" s="160"/>
      <c r="R14" s="160"/>
      <c r="S14" s="160"/>
      <c r="T14" s="160"/>
      <c r="U14" s="160"/>
      <c r="V14" s="160"/>
      <c r="W14" s="160"/>
      <c r="X14" s="160"/>
      <c r="Y14" s="160"/>
      <c r="Z14" s="160"/>
      <c r="AA14" s="160"/>
      <c r="AB14" s="161" t="str">
        <f t="shared" si="1"/>
        <v/>
      </c>
      <c r="AC14" s="160"/>
      <c r="AD14" s="160"/>
      <c r="AE14" s="161">
        <f t="shared" si="3"/>
        <v>0</v>
      </c>
      <c r="AF14" s="137" t="str">
        <f t="shared" si="5"/>
        <v>ED</v>
      </c>
      <c r="AG14" s="161">
        <f t="shared" si="2"/>
        <v>0</v>
      </c>
      <c r="AH14" s="230" t="b">
        <f t="shared" si="4"/>
        <v>0</v>
      </c>
      <c r="AI14" s="230"/>
      <c r="AJ14" s="230"/>
      <c r="AK14" s="230"/>
      <c r="AL14" s="230"/>
      <c r="AM14" s="230"/>
      <c r="AN14" s="185"/>
      <c r="AO14" s="185"/>
      <c r="AP14" s="185"/>
      <c r="AQ14" s="185"/>
      <c r="AR14" s="186"/>
    </row>
    <row r="15" spans="1:48" ht="12" customHeight="1" x14ac:dyDescent="0.4">
      <c r="A15" s="37">
        <v>7</v>
      </c>
      <c r="B15" s="162">
        <f>'C. FILIACION'!B14</f>
        <v>0</v>
      </c>
      <c r="C15" s="160"/>
      <c r="D15" s="160"/>
      <c r="E15" s="160"/>
      <c r="F15" s="160"/>
      <c r="G15" s="160"/>
      <c r="H15" s="160"/>
      <c r="I15" s="160"/>
      <c r="J15" s="160"/>
      <c r="K15" s="160"/>
      <c r="L15" s="160"/>
      <c r="M15" s="160"/>
      <c r="N15" s="160"/>
      <c r="O15" s="161" t="str">
        <f t="shared" si="0"/>
        <v/>
      </c>
      <c r="P15" s="160"/>
      <c r="Q15" s="160"/>
      <c r="R15" s="160"/>
      <c r="S15" s="160"/>
      <c r="T15" s="160"/>
      <c r="U15" s="160"/>
      <c r="V15" s="160"/>
      <c r="W15" s="160"/>
      <c r="X15" s="160"/>
      <c r="Y15" s="160"/>
      <c r="Z15" s="160"/>
      <c r="AA15" s="160"/>
      <c r="AB15" s="161" t="str">
        <f t="shared" si="1"/>
        <v/>
      </c>
      <c r="AC15" s="160"/>
      <c r="AD15" s="160"/>
      <c r="AE15" s="161">
        <f t="shared" si="3"/>
        <v>0</v>
      </c>
      <c r="AF15" s="137" t="str">
        <f t="shared" si="5"/>
        <v>ED</v>
      </c>
      <c r="AG15" s="161">
        <f t="shared" si="2"/>
        <v>0</v>
      </c>
      <c r="AH15" s="230" t="b">
        <f>IF(AG15="","",(IF(AND(AG15&gt;=1,AG15&lt;=50.499),"REPROBADO",IF(AND(AG15&gt;=50.5,AG15&lt;=100),"APROBADO"))))</f>
        <v>0</v>
      </c>
      <c r="AI15" s="230"/>
      <c r="AJ15" s="230"/>
      <c r="AK15" s="230"/>
      <c r="AL15" s="230"/>
      <c r="AM15" s="230"/>
      <c r="AN15" s="185"/>
      <c r="AO15" s="185"/>
      <c r="AP15" s="185"/>
      <c r="AQ15" s="185"/>
      <c r="AR15" s="186"/>
    </row>
    <row r="16" spans="1:48" ht="12" customHeight="1" x14ac:dyDescent="0.4">
      <c r="A16" s="37">
        <v>8</v>
      </c>
      <c r="B16" s="162">
        <f>'C. FILIACION'!B15</f>
        <v>0</v>
      </c>
      <c r="C16" s="160"/>
      <c r="D16" s="160"/>
      <c r="E16" s="160"/>
      <c r="F16" s="160"/>
      <c r="G16" s="160"/>
      <c r="H16" s="160"/>
      <c r="I16" s="160"/>
      <c r="J16" s="160"/>
      <c r="K16" s="160"/>
      <c r="L16" s="160"/>
      <c r="M16" s="160"/>
      <c r="N16" s="160"/>
      <c r="O16" s="161" t="str">
        <f t="shared" si="0"/>
        <v/>
      </c>
      <c r="P16" s="160"/>
      <c r="Q16" s="160"/>
      <c r="R16" s="160"/>
      <c r="S16" s="160"/>
      <c r="T16" s="160"/>
      <c r="U16" s="160"/>
      <c r="V16" s="160"/>
      <c r="W16" s="160"/>
      <c r="X16" s="160"/>
      <c r="Y16" s="160"/>
      <c r="Z16" s="160"/>
      <c r="AA16" s="160"/>
      <c r="AB16" s="161" t="str">
        <f t="shared" si="1"/>
        <v/>
      </c>
      <c r="AC16" s="160"/>
      <c r="AD16" s="160"/>
      <c r="AE16" s="161">
        <f t="shared" si="3"/>
        <v>0</v>
      </c>
      <c r="AF16" s="137" t="str">
        <f t="shared" si="5"/>
        <v>ED</v>
      </c>
      <c r="AG16" s="161">
        <f t="shared" si="2"/>
        <v>0</v>
      </c>
      <c r="AH16" s="230" t="b">
        <f t="shared" si="4"/>
        <v>0</v>
      </c>
      <c r="AI16" s="230"/>
      <c r="AJ16" s="230"/>
      <c r="AK16" s="230"/>
      <c r="AL16" s="230"/>
      <c r="AM16" s="230"/>
      <c r="AN16" s="185"/>
      <c r="AO16" s="185"/>
      <c r="AP16" s="185"/>
      <c r="AQ16" s="185"/>
      <c r="AR16" s="186"/>
    </row>
    <row r="17" spans="1:44" ht="12" customHeight="1" x14ac:dyDescent="0.4">
      <c r="A17" s="37">
        <v>9</v>
      </c>
      <c r="B17" s="162">
        <f>'C. FILIACION'!B16</f>
        <v>0</v>
      </c>
      <c r="C17" s="160"/>
      <c r="D17" s="160"/>
      <c r="E17" s="160"/>
      <c r="F17" s="160"/>
      <c r="G17" s="160"/>
      <c r="H17" s="160"/>
      <c r="I17" s="160"/>
      <c r="J17" s="160"/>
      <c r="K17" s="160"/>
      <c r="L17" s="160"/>
      <c r="M17" s="160"/>
      <c r="N17" s="160"/>
      <c r="O17" s="161" t="str">
        <f t="shared" si="0"/>
        <v/>
      </c>
      <c r="P17" s="160"/>
      <c r="Q17" s="160"/>
      <c r="R17" s="160"/>
      <c r="S17" s="160"/>
      <c r="T17" s="160"/>
      <c r="U17" s="160"/>
      <c r="V17" s="160"/>
      <c r="W17" s="160"/>
      <c r="X17" s="160"/>
      <c r="Y17" s="160"/>
      <c r="Z17" s="160"/>
      <c r="AA17" s="160"/>
      <c r="AB17" s="161" t="str">
        <f t="shared" si="1"/>
        <v/>
      </c>
      <c r="AC17" s="160"/>
      <c r="AD17" s="160"/>
      <c r="AE17" s="161">
        <f t="shared" si="3"/>
        <v>0</v>
      </c>
      <c r="AF17" s="137" t="str">
        <f t="shared" si="5"/>
        <v>ED</v>
      </c>
      <c r="AG17" s="161">
        <f t="shared" si="2"/>
        <v>0</v>
      </c>
      <c r="AH17" s="230" t="b">
        <f t="shared" si="4"/>
        <v>0</v>
      </c>
      <c r="AI17" s="230"/>
      <c r="AJ17" s="230"/>
      <c r="AK17" s="230"/>
      <c r="AL17" s="230"/>
      <c r="AM17" s="230"/>
      <c r="AN17" s="185"/>
      <c r="AO17" s="185"/>
      <c r="AP17" s="185"/>
      <c r="AQ17" s="185"/>
      <c r="AR17" s="186"/>
    </row>
    <row r="18" spans="1:44" ht="12" customHeight="1" x14ac:dyDescent="0.4">
      <c r="A18" s="37">
        <v>10</v>
      </c>
      <c r="B18" s="162">
        <f>'C. FILIACION'!B17</f>
        <v>0</v>
      </c>
      <c r="C18" s="160"/>
      <c r="D18" s="160"/>
      <c r="E18" s="160"/>
      <c r="F18" s="160"/>
      <c r="G18" s="160"/>
      <c r="H18" s="160"/>
      <c r="I18" s="160"/>
      <c r="J18" s="160"/>
      <c r="K18" s="160"/>
      <c r="L18" s="160"/>
      <c r="M18" s="160"/>
      <c r="N18" s="160"/>
      <c r="O18" s="161" t="str">
        <f t="shared" si="0"/>
        <v/>
      </c>
      <c r="P18" s="160"/>
      <c r="Q18" s="160"/>
      <c r="R18" s="160"/>
      <c r="S18" s="160"/>
      <c r="T18" s="160"/>
      <c r="U18" s="160"/>
      <c r="V18" s="160"/>
      <c r="W18" s="160"/>
      <c r="X18" s="160"/>
      <c r="Y18" s="160"/>
      <c r="Z18" s="160"/>
      <c r="AA18" s="160"/>
      <c r="AB18" s="161" t="str">
        <f t="shared" si="1"/>
        <v/>
      </c>
      <c r="AC18" s="160"/>
      <c r="AD18" s="160"/>
      <c r="AE18" s="161">
        <f t="shared" si="3"/>
        <v>0</v>
      </c>
      <c r="AF18" s="137" t="str">
        <f t="shared" si="5"/>
        <v>ED</v>
      </c>
      <c r="AG18" s="161">
        <f t="shared" si="2"/>
        <v>0</v>
      </c>
      <c r="AH18" s="230" t="b">
        <f t="shared" si="4"/>
        <v>0</v>
      </c>
      <c r="AI18" s="230"/>
      <c r="AJ18" s="230"/>
      <c r="AK18" s="230"/>
      <c r="AL18" s="230"/>
      <c r="AM18" s="230"/>
      <c r="AN18" s="185"/>
      <c r="AO18" s="185"/>
      <c r="AP18" s="185"/>
      <c r="AQ18" s="185"/>
      <c r="AR18" s="186"/>
    </row>
    <row r="19" spans="1:44" ht="12" customHeight="1" x14ac:dyDescent="0.4">
      <c r="A19" s="37">
        <v>11</v>
      </c>
      <c r="B19" s="162">
        <f>'C. FILIACION'!B18</f>
        <v>0</v>
      </c>
      <c r="C19" s="160"/>
      <c r="D19" s="160"/>
      <c r="E19" s="160"/>
      <c r="F19" s="160"/>
      <c r="G19" s="160"/>
      <c r="H19" s="160"/>
      <c r="I19" s="160"/>
      <c r="J19" s="160"/>
      <c r="K19" s="160"/>
      <c r="L19" s="160"/>
      <c r="M19" s="160"/>
      <c r="N19" s="160"/>
      <c r="O19" s="161" t="str">
        <f t="shared" si="0"/>
        <v/>
      </c>
      <c r="P19" s="160"/>
      <c r="Q19" s="160"/>
      <c r="R19" s="160"/>
      <c r="S19" s="160"/>
      <c r="T19" s="160"/>
      <c r="U19" s="160"/>
      <c r="V19" s="160"/>
      <c r="W19" s="160"/>
      <c r="X19" s="160"/>
      <c r="Y19" s="160"/>
      <c r="Z19" s="160"/>
      <c r="AA19" s="160"/>
      <c r="AB19" s="161" t="str">
        <f t="shared" si="1"/>
        <v/>
      </c>
      <c r="AC19" s="160"/>
      <c r="AD19" s="160"/>
      <c r="AE19" s="161">
        <f t="shared" si="3"/>
        <v>0</v>
      </c>
      <c r="AF19" s="137" t="str">
        <f t="shared" si="5"/>
        <v>ED</v>
      </c>
      <c r="AG19" s="161">
        <f t="shared" si="2"/>
        <v>0</v>
      </c>
      <c r="AH19" s="230" t="b">
        <f t="shared" si="4"/>
        <v>0</v>
      </c>
      <c r="AI19" s="230"/>
      <c r="AJ19" s="230"/>
      <c r="AK19" s="230"/>
      <c r="AL19" s="230"/>
      <c r="AM19" s="230"/>
      <c r="AN19" s="185"/>
      <c r="AO19" s="185"/>
      <c r="AP19" s="185"/>
      <c r="AQ19" s="185"/>
      <c r="AR19" s="186"/>
    </row>
    <row r="20" spans="1:44" ht="12" customHeight="1" x14ac:dyDescent="0.4">
      <c r="A20" s="37">
        <v>12</v>
      </c>
      <c r="B20" s="162">
        <f>'C. FILIACION'!B19</f>
        <v>0</v>
      </c>
      <c r="C20" s="160"/>
      <c r="D20" s="160"/>
      <c r="E20" s="160"/>
      <c r="F20" s="160"/>
      <c r="G20" s="160"/>
      <c r="H20" s="160"/>
      <c r="I20" s="160"/>
      <c r="J20" s="160"/>
      <c r="K20" s="160"/>
      <c r="L20" s="160"/>
      <c r="M20" s="160"/>
      <c r="N20" s="160"/>
      <c r="O20" s="161" t="str">
        <f t="shared" si="0"/>
        <v/>
      </c>
      <c r="P20" s="160"/>
      <c r="Q20" s="160"/>
      <c r="R20" s="160"/>
      <c r="S20" s="160"/>
      <c r="T20" s="160"/>
      <c r="U20" s="160"/>
      <c r="V20" s="160"/>
      <c r="W20" s="160"/>
      <c r="X20" s="160"/>
      <c r="Y20" s="160"/>
      <c r="Z20" s="160"/>
      <c r="AA20" s="160"/>
      <c r="AB20" s="161" t="str">
        <f t="shared" si="1"/>
        <v/>
      </c>
      <c r="AC20" s="160"/>
      <c r="AD20" s="160"/>
      <c r="AE20" s="161">
        <f t="shared" si="3"/>
        <v>0</v>
      </c>
      <c r="AF20" s="137" t="str">
        <f t="shared" si="5"/>
        <v>ED</v>
      </c>
      <c r="AG20" s="161">
        <f t="shared" si="2"/>
        <v>0</v>
      </c>
      <c r="AH20" s="230" t="b">
        <f t="shared" si="4"/>
        <v>0</v>
      </c>
      <c r="AI20" s="230"/>
      <c r="AJ20" s="230"/>
      <c r="AK20" s="230"/>
      <c r="AL20" s="230"/>
      <c r="AM20" s="230"/>
      <c r="AN20" s="185"/>
      <c r="AO20" s="185"/>
      <c r="AP20" s="185"/>
      <c r="AQ20" s="185"/>
      <c r="AR20" s="186"/>
    </row>
    <row r="21" spans="1:44" ht="12" customHeight="1" x14ac:dyDescent="0.4">
      <c r="A21" s="37">
        <v>13</v>
      </c>
      <c r="B21" s="162">
        <f>'C. FILIACION'!B20</f>
        <v>0</v>
      </c>
      <c r="C21" s="160"/>
      <c r="D21" s="160"/>
      <c r="E21" s="160"/>
      <c r="F21" s="160"/>
      <c r="G21" s="160"/>
      <c r="H21" s="160"/>
      <c r="I21" s="160"/>
      <c r="J21" s="160"/>
      <c r="K21" s="160"/>
      <c r="L21" s="160"/>
      <c r="M21" s="160"/>
      <c r="N21" s="160"/>
      <c r="O21" s="161" t="str">
        <f t="shared" si="0"/>
        <v/>
      </c>
      <c r="P21" s="160"/>
      <c r="Q21" s="160"/>
      <c r="R21" s="160"/>
      <c r="S21" s="160"/>
      <c r="T21" s="160"/>
      <c r="U21" s="160"/>
      <c r="V21" s="160"/>
      <c r="W21" s="160"/>
      <c r="X21" s="160"/>
      <c r="Y21" s="160"/>
      <c r="Z21" s="160"/>
      <c r="AA21" s="160"/>
      <c r="AB21" s="161" t="str">
        <f t="shared" si="1"/>
        <v/>
      </c>
      <c r="AC21" s="160"/>
      <c r="AD21" s="160"/>
      <c r="AE21" s="161">
        <f t="shared" si="3"/>
        <v>0</v>
      </c>
      <c r="AF21" s="137" t="str">
        <f t="shared" si="5"/>
        <v>ED</v>
      </c>
      <c r="AG21" s="161">
        <f t="shared" si="2"/>
        <v>0</v>
      </c>
      <c r="AH21" s="230" t="b">
        <f t="shared" si="4"/>
        <v>0</v>
      </c>
      <c r="AI21" s="230"/>
      <c r="AJ21" s="230"/>
      <c r="AK21" s="230"/>
      <c r="AL21" s="230"/>
      <c r="AM21" s="230"/>
      <c r="AN21" s="185"/>
      <c r="AO21" s="185"/>
      <c r="AP21" s="185"/>
      <c r="AQ21" s="185"/>
      <c r="AR21" s="186"/>
    </row>
    <row r="22" spans="1:44" ht="12" customHeight="1" x14ac:dyDescent="0.4">
      <c r="A22" s="37">
        <v>14</v>
      </c>
      <c r="B22" s="162">
        <f>'C. FILIACION'!B21</f>
        <v>0</v>
      </c>
      <c r="C22" s="160"/>
      <c r="D22" s="160"/>
      <c r="E22" s="160"/>
      <c r="F22" s="160"/>
      <c r="G22" s="160"/>
      <c r="H22" s="160"/>
      <c r="I22" s="160"/>
      <c r="J22" s="160"/>
      <c r="K22" s="160"/>
      <c r="L22" s="160"/>
      <c r="M22" s="160"/>
      <c r="N22" s="160"/>
      <c r="O22" s="161" t="str">
        <f t="shared" si="0"/>
        <v/>
      </c>
      <c r="P22" s="160"/>
      <c r="Q22" s="160"/>
      <c r="R22" s="160"/>
      <c r="S22" s="160"/>
      <c r="T22" s="160"/>
      <c r="U22" s="160"/>
      <c r="V22" s="160"/>
      <c r="W22" s="160"/>
      <c r="X22" s="160"/>
      <c r="Y22" s="160"/>
      <c r="Z22" s="160"/>
      <c r="AA22" s="160"/>
      <c r="AB22" s="161" t="str">
        <f t="shared" si="1"/>
        <v/>
      </c>
      <c r="AC22" s="160"/>
      <c r="AD22" s="160"/>
      <c r="AE22" s="161">
        <f t="shared" si="3"/>
        <v>0</v>
      </c>
      <c r="AF22" s="137" t="str">
        <f t="shared" si="5"/>
        <v>ED</v>
      </c>
      <c r="AG22" s="161">
        <f t="shared" si="2"/>
        <v>0</v>
      </c>
      <c r="AH22" s="230" t="b">
        <f t="shared" si="4"/>
        <v>0</v>
      </c>
      <c r="AI22" s="230"/>
      <c r="AJ22" s="230"/>
      <c r="AK22" s="230"/>
      <c r="AL22" s="230"/>
      <c r="AM22" s="230"/>
      <c r="AN22" s="185"/>
      <c r="AO22" s="185"/>
      <c r="AP22" s="185"/>
      <c r="AQ22" s="185"/>
      <c r="AR22" s="186"/>
    </row>
    <row r="23" spans="1:44" ht="12" customHeight="1" x14ac:dyDescent="0.4">
      <c r="A23" s="37">
        <v>15</v>
      </c>
      <c r="B23" s="162">
        <f>'C. FILIACION'!B22</f>
        <v>0</v>
      </c>
      <c r="C23" s="160"/>
      <c r="D23" s="160"/>
      <c r="E23" s="160"/>
      <c r="F23" s="160"/>
      <c r="G23" s="160"/>
      <c r="H23" s="160"/>
      <c r="I23" s="160"/>
      <c r="J23" s="160"/>
      <c r="K23" s="160"/>
      <c r="L23" s="160"/>
      <c r="M23" s="160"/>
      <c r="N23" s="160"/>
      <c r="O23" s="161" t="str">
        <f t="shared" si="0"/>
        <v/>
      </c>
      <c r="P23" s="160"/>
      <c r="Q23" s="160"/>
      <c r="R23" s="160"/>
      <c r="S23" s="160"/>
      <c r="T23" s="160"/>
      <c r="U23" s="160"/>
      <c r="V23" s="160"/>
      <c r="W23" s="160"/>
      <c r="X23" s="160"/>
      <c r="Y23" s="160"/>
      <c r="Z23" s="160"/>
      <c r="AA23" s="160"/>
      <c r="AB23" s="161" t="str">
        <f t="shared" si="1"/>
        <v/>
      </c>
      <c r="AC23" s="160"/>
      <c r="AD23" s="160"/>
      <c r="AE23" s="161">
        <f t="shared" si="3"/>
        <v>0</v>
      </c>
      <c r="AF23" s="137" t="str">
        <f t="shared" si="5"/>
        <v>ED</v>
      </c>
      <c r="AG23" s="161">
        <f t="shared" si="2"/>
        <v>0</v>
      </c>
      <c r="AH23" s="230" t="b">
        <f t="shared" si="4"/>
        <v>0</v>
      </c>
      <c r="AI23" s="230"/>
      <c r="AJ23" s="230"/>
      <c r="AK23" s="230"/>
      <c r="AL23" s="230"/>
      <c r="AM23" s="230"/>
      <c r="AN23" s="185"/>
      <c r="AO23" s="185"/>
      <c r="AP23" s="185"/>
      <c r="AQ23" s="185"/>
      <c r="AR23" s="186"/>
    </row>
    <row r="24" spans="1:44" ht="12" customHeight="1" x14ac:dyDescent="0.4">
      <c r="A24" s="37">
        <v>16</v>
      </c>
      <c r="B24" s="162">
        <f>'C. FILIACION'!B23</f>
        <v>0</v>
      </c>
      <c r="C24" s="160"/>
      <c r="D24" s="160"/>
      <c r="E24" s="160"/>
      <c r="F24" s="160"/>
      <c r="G24" s="160"/>
      <c r="H24" s="160"/>
      <c r="I24" s="160"/>
      <c r="J24" s="160"/>
      <c r="K24" s="160"/>
      <c r="L24" s="160"/>
      <c r="M24" s="160"/>
      <c r="N24" s="160"/>
      <c r="O24" s="161" t="str">
        <f t="shared" si="0"/>
        <v/>
      </c>
      <c r="P24" s="160"/>
      <c r="Q24" s="160"/>
      <c r="R24" s="160"/>
      <c r="S24" s="160"/>
      <c r="T24" s="160"/>
      <c r="U24" s="160"/>
      <c r="V24" s="160"/>
      <c r="W24" s="160"/>
      <c r="X24" s="160"/>
      <c r="Y24" s="160"/>
      <c r="Z24" s="160"/>
      <c r="AA24" s="160"/>
      <c r="AB24" s="161" t="str">
        <f t="shared" si="1"/>
        <v/>
      </c>
      <c r="AC24" s="160"/>
      <c r="AD24" s="160"/>
      <c r="AE24" s="161">
        <f t="shared" si="3"/>
        <v>0</v>
      </c>
      <c r="AF24" s="137" t="str">
        <f t="shared" si="5"/>
        <v>ED</v>
      </c>
      <c r="AG24" s="161">
        <f t="shared" si="2"/>
        <v>0</v>
      </c>
      <c r="AH24" s="230" t="b">
        <f t="shared" si="4"/>
        <v>0</v>
      </c>
      <c r="AI24" s="230"/>
      <c r="AJ24" s="230"/>
      <c r="AK24" s="230"/>
      <c r="AL24" s="230"/>
      <c r="AM24" s="230"/>
      <c r="AN24" s="185"/>
      <c r="AO24" s="185"/>
      <c r="AP24" s="185"/>
      <c r="AQ24" s="185"/>
      <c r="AR24" s="186"/>
    </row>
    <row r="25" spans="1:44" ht="12" customHeight="1" x14ac:dyDescent="0.4">
      <c r="A25" s="37">
        <v>17</v>
      </c>
      <c r="B25" s="162">
        <f>'C. FILIACION'!B24</f>
        <v>0</v>
      </c>
      <c r="C25" s="160"/>
      <c r="D25" s="160"/>
      <c r="E25" s="160"/>
      <c r="F25" s="160"/>
      <c r="G25" s="160"/>
      <c r="H25" s="160"/>
      <c r="I25" s="160"/>
      <c r="J25" s="160"/>
      <c r="K25" s="160"/>
      <c r="L25" s="160"/>
      <c r="M25" s="160"/>
      <c r="N25" s="160"/>
      <c r="O25" s="161" t="str">
        <f t="shared" si="0"/>
        <v/>
      </c>
      <c r="P25" s="160"/>
      <c r="Q25" s="160"/>
      <c r="R25" s="160"/>
      <c r="S25" s="160"/>
      <c r="T25" s="160"/>
      <c r="U25" s="160"/>
      <c r="V25" s="160"/>
      <c r="W25" s="160"/>
      <c r="X25" s="160"/>
      <c r="Y25" s="160"/>
      <c r="Z25" s="160"/>
      <c r="AA25" s="160"/>
      <c r="AB25" s="161" t="str">
        <f t="shared" si="1"/>
        <v/>
      </c>
      <c r="AC25" s="160"/>
      <c r="AD25" s="160"/>
      <c r="AE25" s="161">
        <f t="shared" si="3"/>
        <v>0</v>
      </c>
      <c r="AF25" s="137" t="str">
        <f t="shared" si="5"/>
        <v>ED</v>
      </c>
      <c r="AG25" s="161">
        <f t="shared" si="2"/>
        <v>0</v>
      </c>
      <c r="AH25" s="230" t="b">
        <f t="shared" si="4"/>
        <v>0</v>
      </c>
      <c r="AI25" s="230"/>
      <c r="AJ25" s="230"/>
      <c r="AK25" s="230"/>
      <c r="AL25" s="230"/>
      <c r="AM25" s="230"/>
      <c r="AN25" s="185"/>
      <c r="AO25" s="185"/>
      <c r="AP25" s="185"/>
      <c r="AQ25" s="185"/>
      <c r="AR25" s="186"/>
    </row>
    <row r="26" spans="1:44" ht="12" customHeight="1" x14ac:dyDescent="0.4">
      <c r="A26" s="37">
        <v>18</v>
      </c>
      <c r="B26" s="162">
        <f>'C. FILIACION'!B25</f>
        <v>0</v>
      </c>
      <c r="C26" s="160"/>
      <c r="D26" s="160"/>
      <c r="E26" s="160"/>
      <c r="F26" s="160"/>
      <c r="G26" s="160"/>
      <c r="H26" s="160"/>
      <c r="I26" s="160"/>
      <c r="J26" s="160"/>
      <c r="K26" s="160"/>
      <c r="L26" s="160"/>
      <c r="M26" s="160"/>
      <c r="N26" s="160"/>
      <c r="O26" s="161" t="str">
        <f t="shared" si="0"/>
        <v/>
      </c>
      <c r="P26" s="160"/>
      <c r="Q26" s="160"/>
      <c r="R26" s="160"/>
      <c r="S26" s="160"/>
      <c r="T26" s="160"/>
      <c r="U26" s="160"/>
      <c r="V26" s="160"/>
      <c r="W26" s="160"/>
      <c r="X26" s="160"/>
      <c r="Y26" s="160"/>
      <c r="Z26" s="160"/>
      <c r="AA26" s="160"/>
      <c r="AB26" s="161" t="str">
        <f t="shared" si="1"/>
        <v/>
      </c>
      <c r="AC26" s="160"/>
      <c r="AD26" s="160"/>
      <c r="AE26" s="161">
        <f t="shared" si="3"/>
        <v>0</v>
      </c>
      <c r="AF26" s="137" t="str">
        <f t="shared" si="5"/>
        <v>ED</v>
      </c>
      <c r="AG26" s="161">
        <f t="shared" si="2"/>
        <v>0</v>
      </c>
      <c r="AH26" s="230" t="b">
        <f t="shared" si="4"/>
        <v>0</v>
      </c>
      <c r="AI26" s="230"/>
      <c r="AJ26" s="230"/>
      <c r="AK26" s="230"/>
      <c r="AL26" s="230"/>
      <c r="AM26" s="230"/>
      <c r="AN26" s="185"/>
      <c r="AO26" s="185"/>
      <c r="AP26" s="185"/>
      <c r="AQ26" s="185"/>
      <c r="AR26" s="186"/>
    </row>
    <row r="27" spans="1:44" ht="12" customHeight="1" x14ac:dyDescent="0.4">
      <c r="A27" s="37">
        <v>19</v>
      </c>
      <c r="B27" s="162">
        <f>'C. FILIACION'!B26</f>
        <v>0</v>
      </c>
      <c r="C27" s="160"/>
      <c r="D27" s="160"/>
      <c r="E27" s="160"/>
      <c r="F27" s="160"/>
      <c r="G27" s="160"/>
      <c r="H27" s="160"/>
      <c r="I27" s="160"/>
      <c r="J27" s="160"/>
      <c r="K27" s="160"/>
      <c r="L27" s="160"/>
      <c r="M27" s="160"/>
      <c r="N27" s="160"/>
      <c r="O27" s="161" t="str">
        <f t="shared" si="0"/>
        <v/>
      </c>
      <c r="P27" s="160"/>
      <c r="Q27" s="160"/>
      <c r="R27" s="160"/>
      <c r="S27" s="160"/>
      <c r="T27" s="160"/>
      <c r="U27" s="160"/>
      <c r="V27" s="160"/>
      <c r="W27" s="160"/>
      <c r="X27" s="160"/>
      <c r="Y27" s="160"/>
      <c r="Z27" s="160"/>
      <c r="AA27" s="160"/>
      <c r="AB27" s="161" t="str">
        <f t="shared" si="1"/>
        <v/>
      </c>
      <c r="AC27" s="160"/>
      <c r="AD27" s="160"/>
      <c r="AE27" s="161">
        <f t="shared" si="3"/>
        <v>0</v>
      </c>
      <c r="AF27" s="137" t="str">
        <f t="shared" si="5"/>
        <v>ED</v>
      </c>
      <c r="AG27" s="161">
        <f t="shared" si="2"/>
        <v>0</v>
      </c>
      <c r="AH27" s="230" t="b">
        <f t="shared" si="4"/>
        <v>0</v>
      </c>
      <c r="AI27" s="230"/>
      <c r="AJ27" s="230"/>
      <c r="AK27" s="230"/>
      <c r="AL27" s="230"/>
      <c r="AM27" s="230"/>
      <c r="AN27" s="185"/>
      <c r="AO27" s="185"/>
      <c r="AP27" s="185"/>
      <c r="AQ27" s="185"/>
      <c r="AR27" s="186"/>
    </row>
    <row r="28" spans="1:44" ht="12" customHeight="1" x14ac:dyDescent="0.4">
      <c r="A28" s="37">
        <v>20</v>
      </c>
      <c r="B28" s="162">
        <f>'C. FILIACION'!B27</f>
        <v>0</v>
      </c>
      <c r="C28" s="160"/>
      <c r="D28" s="160"/>
      <c r="E28" s="160"/>
      <c r="F28" s="160"/>
      <c r="G28" s="160"/>
      <c r="H28" s="160"/>
      <c r="I28" s="160"/>
      <c r="J28" s="160"/>
      <c r="K28" s="160"/>
      <c r="L28" s="160"/>
      <c r="M28" s="160"/>
      <c r="N28" s="160"/>
      <c r="O28" s="161" t="str">
        <f t="shared" si="0"/>
        <v/>
      </c>
      <c r="P28" s="160"/>
      <c r="Q28" s="160"/>
      <c r="R28" s="160"/>
      <c r="S28" s="160"/>
      <c r="T28" s="160"/>
      <c r="U28" s="160"/>
      <c r="V28" s="160"/>
      <c r="W28" s="160"/>
      <c r="X28" s="160"/>
      <c r="Y28" s="160"/>
      <c r="Z28" s="160"/>
      <c r="AA28" s="160"/>
      <c r="AB28" s="161" t="str">
        <f t="shared" si="1"/>
        <v/>
      </c>
      <c r="AC28" s="160"/>
      <c r="AD28" s="160"/>
      <c r="AE28" s="161">
        <f t="shared" si="3"/>
        <v>0</v>
      </c>
      <c r="AF28" s="137" t="str">
        <f t="shared" si="5"/>
        <v>ED</v>
      </c>
      <c r="AG28" s="161">
        <f t="shared" si="2"/>
        <v>0</v>
      </c>
      <c r="AH28" s="230" t="b">
        <f t="shared" si="4"/>
        <v>0</v>
      </c>
      <c r="AI28" s="230"/>
      <c r="AJ28" s="230"/>
      <c r="AK28" s="230"/>
      <c r="AL28" s="230"/>
      <c r="AM28" s="230"/>
      <c r="AN28" s="185"/>
      <c r="AO28" s="185"/>
      <c r="AP28" s="185"/>
      <c r="AQ28" s="185"/>
      <c r="AR28" s="186"/>
    </row>
    <row r="29" spans="1:44" ht="12" customHeight="1" x14ac:dyDescent="0.4">
      <c r="A29" s="37">
        <v>21</v>
      </c>
      <c r="B29" s="162">
        <f>'C. FILIACION'!B28</f>
        <v>0</v>
      </c>
      <c r="C29" s="160"/>
      <c r="D29" s="160"/>
      <c r="E29" s="160"/>
      <c r="F29" s="160"/>
      <c r="G29" s="160"/>
      <c r="H29" s="160"/>
      <c r="I29" s="160"/>
      <c r="J29" s="160"/>
      <c r="K29" s="160"/>
      <c r="L29" s="160"/>
      <c r="M29" s="160"/>
      <c r="N29" s="160"/>
      <c r="O29" s="161" t="str">
        <f t="shared" si="0"/>
        <v/>
      </c>
      <c r="P29" s="160"/>
      <c r="Q29" s="160"/>
      <c r="R29" s="160"/>
      <c r="S29" s="160"/>
      <c r="T29" s="160"/>
      <c r="U29" s="160"/>
      <c r="V29" s="160"/>
      <c r="W29" s="160"/>
      <c r="X29" s="160"/>
      <c r="Y29" s="160"/>
      <c r="Z29" s="160"/>
      <c r="AA29" s="160"/>
      <c r="AB29" s="161" t="str">
        <f t="shared" si="1"/>
        <v/>
      </c>
      <c r="AC29" s="160"/>
      <c r="AD29" s="160"/>
      <c r="AE29" s="161">
        <f t="shared" si="3"/>
        <v>0</v>
      </c>
      <c r="AF29" s="137" t="str">
        <f t="shared" si="5"/>
        <v>ED</v>
      </c>
      <c r="AG29" s="161">
        <f t="shared" si="2"/>
        <v>0</v>
      </c>
      <c r="AH29" s="230" t="b">
        <f t="shared" si="4"/>
        <v>0</v>
      </c>
      <c r="AI29" s="230"/>
      <c r="AJ29" s="230"/>
      <c r="AK29" s="230"/>
      <c r="AL29" s="230"/>
      <c r="AM29" s="230"/>
      <c r="AN29" s="185"/>
      <c r="AO29" s="185"/>
      <c r="AP29" s="185"/>
      <c r="AQ29" s="185"/>
      <c r="AR29" s="186"/>
    </row>
    <row r="30" spans="1:44" ht="12" customHeight="1" x14ac:dyDescent="0.4">
      <c r="A30" s="37">
        <v>22</v>
      </c>
      <c r="B30" s="162">
        <f>'C. FILIACION'!B29</f>
        <v>0</v>
      </c>
      <c r="C30" s="160"/>
      <c r="D30" s="160"/>
      <c r="E30" s="160"/>
      <c r="F30" s="160"/>
      <c r="G30" s="160"/>
      <c r="H30" s="160"/>
      <c r="I30" s="160"/>
      <c r="J30" s="160"/>
      <c r="K30" s="160"/>
      <c r="L30" s="160"/>
      <c r="M30" s="160"/>
      <c r="N30" s="160"/>
      <c r="O30" s="161" t="str">
        <f t="shared" si="0"/>
        <v/>
      </c>
      <c r="P30" s="160"/>
      <c r="Q30" s="160"/>
      <c r="R30" s="160"/>
      <c r="S30" s="160"/>
      <c r="T30" s="160"/>
      <c r="U30" s="160"/>
      <c r="V30" s="160"/>
      <c r="W30" s="160"/>
      <c r="X30" s="160"/>
      <c r="Y30" s="160"/>
      <c r="Z30" s="160"/>
      <c r="AA30" s="160"/>
      <c r="AB30" s="161" t="str">
        <f t="shared" si="1"/>
        <v/>
      </c>
      <c r="AC30" s="160"/>
      <c r="AD30" s="160"/>
      <c r="AE30" s="161">
        <f t="shared" si="3"/>
        <v>0</v>
      </c>
      <c r="AF30" s="137" t="str">
        <f t="shared" si="5"/>
        <v>ED</v>
      </c>
      <c r="AG30" s="161">
        <f t="shared" si="2"/>
        <v>0</v>
      </c>
      <c r="AH30" s="230" t="b">
        <f t="shared" si="4"/>
        <v>0</v>
      </c>
      <c r="AI30" s="230"/>
      <c r="AJ30" s="230"/>
      <c r="AK30" s="230"/>
      <c r="AL30" s="230"/>
      <c r="AM30" s="230"/>
      <c r="AN30" s="185"/>
      <c r="AO30" s="185"/>
      <c r="AP30" s="185"/>
      <c r="AQ30" s="185"/>
      <c r="AR30" s="186"/>
    </row>
    <row r="31" spans="1:44" ht="12" customHeight="1" x14ac:dyDescent="0.4">
      <c r="A31" s="37">
        <v>23</v>
      </c>
      <c r="B31" s="162">
        <f>'C. FILIACION'!B30</f>
        <v>0</v>
      </c>
      <c r="C31" s="160"/>
      <c r="D31" s="160"/>
      <c r="E31" s="160"/>
      <c r="F31" s="160"/>
      <c r="G31" s="160"/>
      <c r="H31" s="160"/>
      <c r="I31" s="160"/>
      <c r="J31" s="160"/>
      <c r="K31" s="160"/>
      <c r="L31" s="160"/>
      <c r="M31" s="160"/>
      <c r="N31" s="160"/>
      <c r="O31" s="161" t="str">
        <f t="shared" si="0"/>
        <v/>
      </c>
      <c r="P31" s="160"/>
      <c r="Q31" s="160"/>
      <c r="R31" s="160"/>
      <c r="S31" s="160"/>
      <c r="T31" s="160"/>
      <c r="U31" s="160"/>
      <c r="V31" s="160"/>
      <c r="W31" s="160"/>
      <c r="X31" s="160"/>
      <c r="Y31" s="160"/>
      <c r="Z31" s="160"/>
      <c r="AA31" s="160"/>
      <c r="AB31" s="161" t="str">
        <f t="shared" si="1"/>
        <v/>
      </c>
      <c r="AC31" s="160"/>
      <c r="AD31" s="160"/>
      <c r="AE31" s="161">
        <f t="shared" si="3"/>
        <v>0</v>
      </c>
      <c r="AF31" s="137" t="str">
        <f t="shared" si="5"/>
        <v>ED</v>
      </c>
      <c r="AG31" s="161">
        <f t="shared" si="2"/>
        <v>0</v>
      </c>
      <c r="AH31" s="230" t="b">
        <f t="shared" si="4"/>
        <v>0</v>
      </c>
      <c r="AI31" s="230"/>
      <c r="AJ31" s="230"/>
      <c r="AK31" s="230"/>
      <c r="AL31" s="230"/>
      <c r="AM31" s="230"/>
      <c r="AN31" s="185"/>
      <c r="AO31" s="185"/>
      <c r="AP31" s="185"/>
      <c r="AQ31" s="185"/>
      <c r="AR31" s="186"/>
    </row>
    <row r="32" spans="1:44" ht="12" customHeight="1" x14ac:dyDescent="0.4">
      <c r="A32" s="37">
        <v>24</v>
      </c>
      <c r="B32" s="162">
        <f>'C. FILIACION'!B31</f>
        <v>0</v>
      </c>
      <c r="C32" s="160"/>
      <c r="D32" s="160"/>
      <c r="E32" s="160"/>
      <c r="F32" s="160"/>
      <c r="G32" s="160"/>
      <c r="H32" s="160"/>
      <c r="I32" s="160"/>
      <c r="J32" s="160"/>
      <c r="K32" s="160"/>
      <c r="L32" s="160"/>
      <c r="M32" s="160"/>
      <c r="N32" s="160"/>
      <c r="O32" s="161" t="str">
        <f t="shared" si="0"/>
        <v/>
      </c>
      <c r="P32" s="160"/>
      <c r="Q32" s="160"/>
      <c r="R32" s="160"/>
      <c r="S32" s="160"/>
      <c r="T32" s="160"/>
      <c r="U32" s="160"/>
      <c r="V32" s="160"/>
      <c r="W32" s="160"/>
      <c r="X32" s="160"/>
      <c r="Y32" s="160"/>
      <c r="Z32" s="160"/>
      <c r="AA32" s="160"/>
      <c r="AB32" s="161" t="str">
        <f t="shared" si="1"/>
        <v/>
      </c>
      <c r="AC32" s="160"/>
      <c r="AD32" s="160"/>
      <c r="AE32" s="161">
        <f t="shared" si="3"/>
        <v>0</v>
      </c>
      <c r="AF32" s="137" t="str">
        <f t="shared" si="5"/>
        <v>ED</v>
      </c>
      <c r="AG32" s="161">
        <f t="shared" si="2"/>
        <v>0</v>
      </c>
      <c r="AH32" s="230" t="b">
        <f t="shared" si="4"/>
        <v>0</v>
      </c>
      <c r="AI32" s="230"/>
      <c r="AJ32" s="230"/>
      <c r="AK32" s="230"/>
      <c r="AL32" s="230"/>
      <c r="AM32" s="230"/>
      <c r="AN32" s="185"/>
      <c r="AO32" s="185"/>
      <c r="AP32" s="185"/>
      <c r="AQ32" s="185"/>
      <c r="AR32" s="186"/>
    </row>
    <row r="33" spans="1:44" ht="12" customHeight="1" x14ac:dyDescent="0.4">
      <c r="A33" s="37">
        <v>25</v>
      </c>
      <c r="B33" s="162">
        <f>'C. FILIACION'!B32</f>
        <v>0</v>
      </c>
      <c r="C33" s="160"/>
      <c r="D33" s="160"/>
      <c r="E33" s="160"/>
      <c r="F33" s="160"/>
      <c r="G33" s="160"/>
      <c r="H33" s="160"/>
      <c r="I33" s="160"/>
      <c r="J33" s="160"/>
      <c r="K33" s="160"/>
      <c r="L33" s="160"/>
      <c r="M33" s="160"/>
      <c r="N33" s="160"/>
      <c r="O33" s="161" t="str">
        <f t="shared" si="0"/>
        <v/>
      </c>
      <c r="P33" s="160"/>
      <c r="Q33" s="160"/>
      <c r="R33" s="160"/>
      <c r="S33" s="160"/>
      <c r="T33" s="160"/>
      <c r="U33" s="160"/>
      <c r="V33" s="160"/>
      <c r="W33" s="160"/>
      <c r="X33" s="160"/>
      <c r="Y33" s="160"/>
      <c r="Z33" s="160"/>
      <c r="AA33" s="160"/>
      <c r="AB33" s="161" t="str">
        <f t="shared" si="1"/>
        <v/>
      </c>
      <c r="AC33" s="160"/>
      <c r="AD33" s="160"/>
      <c r="AE33" s="161">
        <f t="shared" si="3"/>
        <v>0</v>
      </c>
      <c r="AF33" s="137" t="str">
        <f t="shared" si="5"/>
        <v>ED</v>
      </c>
      <c r="AG33" s="161">
        <f t="shared" si="2"/>
        <v>0</v>
      </c>
      <c r="AH33" s="230" t="b">
        <f t="shared" si="4"/>
        <v>0</v>
      </c>
      <c r="AI33" s="230"/>
      <c r="AJ33" s="230"/>
      <c r="AK33" s="230"/>
      <c r="AL33" s="230"/>
      <c r="AM33" s="230"/>
      <c r="AN33" s="185"/>
      <c r="AO33" s="185"/>
      <c r="AP33" s="185"/>
      <c r="AQ33" s="185"/>
      <c r="AR33" s="186"/>
    </row>
    <row r="34" spans="1:44" ht="12" customHeight="1" x14ac:dyDescent="0.4">
      <c r="A34" s="37">
        <v>26</v>
      </c>
      <c r="B34" s="162">
        <f>'C. FILIACION'!B33</f>
        <v>0</v>
      </c>
      <c r="C34" s="160"/>
      <c r="D34" s="160"/>
      <c r="E34" s="160"/>
      <c r="F34" s="160"/>
      <c r="G34" s="160"/>
      <c r="H34" s="160"/>
      <c r="I34" s="160"/>
      <c r="J34" s="160"/>
      <c r="K34" s="160"/>
      <c r="L34" s="160"/>
      <c r="M34" s="160"/>
      <c r="N34" s="160"/>
      <c r="O34" s="161" t="str">
        <f t="shared" si="0"/>
        <v/>
      </c>
      <c r="P34" s="160"/>
      <c r="Q34" s="160"/>
      <c r="R34" s="160"/>
      <c r="S34" s="160"/>
      <c r="T34" s="160"/>
      <c r="U34" s="160"/>
      <c r="V34" s="160"/>
      <c r="W34" s="160"/>
      <c r="X34" s="160"/>
      <c r="Y34" s="160"/>
      <c r="Z34" s="160"/>
      <c r="AA34" s="160"/>
      <c r="AB34" s="161" t="str">
        <f t="shared" si="1"/>
        <v/>
      </c>
      <c r="AC34" s="160"/>
      <c r="AD34" s="160"/>
      <c r="AE34" s="161">
        <f t="shared" si="3"/>
        <v>0</v>
      </c>
      <c r="AF34" s="137" t="str">
        <f t="shared" si="5"/>
        <v>ED</v>
      </c>
      <c r="AG34" s="161">
        <f t="shared" si="2"/>
        <v>0</v>
      </c>
      <c r="AH34" s="230" t="b">
        <f t="shared" si="4"/>
        <v>0</v>
      </c>
      <c r="AI34" s="230"/>
      <c r="AJ34" s="230"/>
      <c r="AK34" s="230"/>
      <c r="AL34" s="230"/>
      <c r="AM34" s="230"/>
      <c r="AN34" s="185"/>
      <c r="AO34" s="185"/>
      <c r="AP34" s="185"/>
      <c r="AQ34" s="185"/>
      <c r="AR34" s="186"/>
    </row>
    <row r="35" spans="1:44" ht="12" customHeight="1" x14ac:dyDescent="0.4">
      <c r="A35" s="37">
        <v>27</v>
      </c>
      <c r="B35" s="162">
        <f>'C. FILIACION'!B34</f>
        <v>0</v>
      </c>
      <c r="C35" s="160"/>
      <c r="D35" s="160"/>
      <c r="E35" s="160"/>
      <c r="F35" s="160"/>
      <c r="G35" s="160"/>
      <c r="H35" s="160"/>
      <c r="I35" s="160"/>
      <c r="J35" s="160"/>
      <c r="K35" s="160"/>
      <c r="L35" s="160"/>
      <c r="M35" s="160"/>
      <c r="N35" s="160"/>
      <c r="O35" s="161" t="str">
        <f t="shared" si="0"/>
        <v/>
      </c>
      <c r="P35" s="160"/>
      <c r="Q35" s="160"/>
      <c r="R35" s="160"/>
      <c r="S35" s="160"/>
      <c r="T35" s="160"/>
      <c r="U35" s="160"/>
      <c r="V35" s="160"/>
      <c r="W35" s="160"/>
      <c r="X35" s="160"/>
      <c r="Y35" s="160"/>
      <c r="Z35" s="160"/>
      <c r="AA35" s="160"/>
      <c r="AB35" s="161" t="str">
        <f t="shared" si="1"/>
        <v/>
      </c>
      <c r="AC35" s="160"/>
      <c r="AD35" s="160"/>
      <c r="AE35" s="161">
        <f t="shared" si="3"/>
        <v>0</v>
      </c>
      <c r="AF35" s="137" t="str">
        <f t="shared" si="5"/>
        <v>ED</v>
      </c>
      <c r="AG35" s="161">
        <f t="shared" si="2"/>
        <v>0</v>
      </c>
      <c r="AH35" s="230" t="b">
        <f t="shared" si="4"/>
        <v>0</v>
      </c>
      <c r="AI35" s="230"/>
      <c r="AJ35" s="230"/>
      <c r="AK35" s="230"/>
      <c r="AL35" s="230"/>
      <c r="AM35" s="230"/>
      <c r="AN35" s="185"/>
      <c r="AO35" s="185"/>
      <c r="AP35" s="185"/>
      <c r="AQ35" s="185"/>
      <c r="AR35" s="186"/>
    </row>
    <row r="36" spans="1:44" ht="12" customHeight="1" x14ac:dyDescent="0.4">
      <c r="A36" s="37">
        <v>28</v>
      </c>
      <c r="B36" s="162">
        <f>'C. FILIACION'!B35</f>
        <v>0</v>
      </c>
      <c r="C36" s="160"/>
      <c r="D36" s="160"/>
      <c r="E36" s="160"/>
      <c r="F36" s="160"/>
      <c r="G36" s="160"/>
      <c r="H36" s="160"/>
      <c r="I36" s="160"/>
      <c r="J36" s="160"/>
      <c r="K36" s="160"/>
      <c r="L36" s="160"/>
      <c r="M36" s="160"/>
      <c r="N36" s="160"/>
      <c r="O36" s="161" t="str">
        <f t="shared" si="0"/>
        <v/>
      </c>
      <c r="P36" s="160"/>
      <c r="Q36" s="160"/>
      <c r="R36" s="160"/>
      <c r="S36" s="160"/>
      <c r="T36" s="160"/>
      <c r="U36" s="160"/>
      <c r="V36" s="160"/>
      <c r="W36" s="160"/>
      <c r="X36" s="160"/>
      <c r="Y36" s="160"/>
      <c r="Z36" s="160"/>
      <c r="AA36" s="160"/>
      <c r="AB36" s="161" t="str">
        <f t="shared" si="1"/>
        <v/>
      </c>
      <c r="AC36" s="160"/>
      <c r="AD36" s="160"/>
      <c r="AE36" s="161">
        <f t="shared" si="3"/>
        <v>0</v>
      </c>
      <c r="AF36" s="137" t="str">
        <f t="shared" si="5"/>
        <v>ED</v>
      </c>
      <c r="AG36" s="161">
        <f t="shared" si="2"/>
        <v>0</v>
      </c>
      <c r="AH36" s="230" t="b">
        <f t="shared" si="4"/>
        <v>0</v>
      </c>
      <c r="AI36" s="230"/>
      <c r="AJ36" s="230"/>
      <c r="AK36" s="230"/>
      <c r="AL36" s="230"/>
      <c r="AM36" s="230"/>
      <c r="AN36" s="185"/>
      <c r="AO36" s="185"/>
      <c r="AP36" s="185"/>
      <c r="AQ36" s="185"/>
      <c r="AR36" s="186"/>
    </row>
    <row r="37" spans="1:44" ht="12" customHeight="1" x14ac:dyDescent="0.4">
      <c r="A37" s="37">
        <v>29</v>
      </c>
      <c r="B37" s="162">
        <f>'C. FILIACION'!B36</f>
        <v>0</v>
      </c>
      <c r="C37" s="160"/>
      <c r="D37" s="160"/>
      <c r="E37" s="160"/>
      <c r="F37" s="160"/>
      <c r="G37" s="160"/>
      <c r="H37" s="160"/>
      <c r="I37" s="160"/>
      <c r="J37" s="160"/>
      <c r="K37" s="160"/>
      <c r="L37" s="160"/>
      <c r="M37" s="160"/>
      <c r="N37" s="160"/>
      <c r="O37" s="161" t="str">
        <f t="shared" si="0"/>
        <v/>
      </c>
      <c r="P37" s="160"/>
      <c r="Q37" s="160"/>
      <c r="R37" s="160"/>
      <c r="S37" s="160"/>
      <c r="T37" s="160"/>
      <c r="U37" s="160"/>
      <c r="V37" s="160"/>
      <c r="W37" s="160"/>
      <c r="X37" s="160"/>
      <c r="Y37" s="160"/>
      <c r="Z37" s="160"/>
      <c r="AA37" s="160"/>
      <c r="AB37" s="161" t="str">
        <f t="shared" si="1"/>
        <v/>
      </c>
      <c r="AC37" s="160"/>
      <c r="AD37" s="160"/>
      <c r="AE37" s="161">
        <f t="shared" si="3"/>
        <v>0</v>
      </c>
      <c r="AF37" s="137" t="str">
        <f t="shared" si="5"/>
        <v>ED</v>
      </c>
      <c r="AG37" s="161">
        <f t="shared" si="2"/>
        <v>0</v>
      </c>
      <c r="AH37" s="230" t="b">
        <f t="shared" si="4"/>
        <v>0</v>
      </c>
      <c r="AI37" s="230"/>
      <c r="AJ37" s="230"/>
      <c r="AK37" s="230"/>
      <c r="AL37" s="230"/>
      <c r="AM37" s="230"/>
      <c r="AN37" s="185"/>
      <c r="AO37" s="185"/>
      <c r="AP37" s="185"/>
      <c r="AQ37" s="185"/>
      <c r="AR37" s="186"/>
    </row>
    <row r="38" spans="1:44" ht="12" customHeight="1" x14ac:dyDescent="0.4">
      <c r="A38" s="37">
        <v>30</v>
      </c>
      <c r="B38" s="162">
        <f>'C. FILIACION'!B37</f>
        <v>0</v>
      </c>
      <c r="C38" s="160"/>
      <c r="D38" s="160"/>
      <c r="E38" s="160"/>
      <c r="F38" s="160"/>
      <c r="G38" s="160"/>
      <c r="H38" s="160"/>
      <c r="I38" s="160"/>
      <c r="J38" s="160"/>
      <c r="K38" s="160"/>
      <c r="L38" s="160"/>
      <c r="M38" s="160"/>
      <c r="N38" s="160"/>
      <c r="O38" s="161" t="str">
        <f t="shared" si="0"/>
        <v/>
      </c>
      <c r="P38" s="160"/>
      <c r="Q38" s="160"/>
      <c r="R38" s="160"/>
      <c r="S38" s="160"/>
      <c r="T38" s="160"/>
      <c r="U38" s="160"/>
      <c r="V38" s="160"/>
      <c r="W38" s="160"/>
      <c r="X38" s="160"/>
      <c r="Y38" s="160"/>
      <c r="Z38" s="160"/>
      <c r="AA38" s="160"/>
      <c r="AB38" s="161" t="str">
        <f t="shared" si="1"/>
        <v/>
      </c>
      <c r="AC38" s="160"/>
      <c r="AD38" s="160"/>
      <c r="AE38" s="161">
        <f t="shared" si="3"/>
        <v>0</v>
      </c>
      <c r="AF38" s="137" t="str">
        <f t="shared" si="5"/>
        <v>ED</v>
      </c>
      <c r="AG38" s="161">
        <f t="shared" si="2"/>
        <v>0</v>
      </c>
      <c r="AH38" s="230" t="b">
        <f t="shared" si="4"/>
        <v>0</v>
      </c>
      <c r="AI38" s="230"/>
      <c r="AJ38" s="230"/>
      <c r="AK38" s="230"/>
      <c r="AL38" s="230"/>
      <c r="AM38" s="230"/>
      <c r="AN38" s="185"/>
      <c r="AO38" s="185"/>
      <c r="AP38" s="185"/>
      <c r="AQ38" s="185"/>
      <c r="AR38" s="186"/>
    </row>
    <row r="39" spans="1:44" ht="12" customHeight="1" x14ac:dyDescent="0.4">
      <c r="A39" s="37">
        <v>31</v>
      </c>
      <c r="B39" s="162">
        <f>'C. FILIACION'!B38</f>
        <v>0</v>
      </c>
      <c r="C39" s="160"/>
      <c r="D39" s="160"/>
      <c r="E39" s="160"/>
      <c r="F39" s="160"/>
      <c r="G39" s="160"/>
      <c r="H39" s="160"/>
      <c r="I39" s="160"/>
      <c r="J39" s="160"/>
      <c r="K39" s="160"/>
      <c r="L39" s="160"/>
      <c r="M39" s="160"/>
      <c r="N39" s="160"/>
      <c r="O39" s="161" t="str">
        <f t="shared" si="0"/>
        <v/>
      </c>
      <c r="P39" s="160"/>
      <c r="Q39" s="160"/>
      <c r="R39" s="160"/>
      <c r="S39" s="160"/>
      <c r="T39" s="160"/>
      <c r="U39" s="160"/>
      <c r="V39" s="160"/>
      <c r="W39" s="160"/>
      <c r="X39" s="160"/>
      <c r="Y39" s="160"/>
      <c r="Z39" s="160"/>
      <c r="AA39" s="160"/>
      <c r="AB39" s="161" t="str">
        <f t="shared" si="1"/>
        <v/>
      </c>
      <c r="AC39" s="160"/>
      <c r="AD39" s="160"/>
      <c r="AE39" s="161">
        <f t="shared" si="3"/>
        <v>0</v>
      </c>
      <c r="AF39" s="137" t="str">
        <f t="shared" si="5"/>
        <v>ED</v>
      </c>
      <c r="AG39" s="161">
        <f t="shared" si="2"/>
        <v>0</v>
      </c>
      <c r="AH39" s="230" t="b">
        <f t="shared" si="4"/>
        <v>0</v>
      </c>
      <c r="AI39" s="230"/>
      <c r="AJ39" s="230"/>
      <c r="AK39" s="230"/>
      <c r="AL39" s="230"/>
      <c r="AM39" s="230"/>
      <c r="AN39" s="185"/>
      <c r="AO39" s="185"/>
      <c r="AP39" s="185"/>
      <c r="AQ39" s="185"/>
      <c r="AR39" s="186"/>
    </row>
    <row r="40" spans="1:44" ht="12" customHeight="1" x14ac:dyDescent="0.4">
      <c r="A40" s="37">
        <v>32</v>
      </c>
      <c r="B40" s="162">
        <f>'C. FILIACION'!B39</f>
        <v>0</v>
      </c>
      <c r="C40" s="160"/>
      <c r="D40" s="160"/>
      <c r="E40" s="160"/>
      <c r="F40" s="160"/>
      <c r="G40" s="160"/>
      <c r="H40" s="160"/>
      <c r="I40" s="160"/>
      <c r="J40" s="160"/>
      <c r="K40" s="160"/>
      <c r="L40" s="160"/>
      <c r="M40" s="160"/>
      <c r="N40" s="160"/>
      <c r="O40" s="161" t="str">
        <f t="shared" si="0"/>
        <v/>
      </c>
      <c r="P40" s="160"/>
      <c r="Q40" s="160"/>
      <c r="R40" s="160"/>
      <c r="S40" s="160"/>
      <c r="T40" s="160"/>
      <c r="U40" s="160"/>
      <c r="V40" s="160"/>
      <c r="W40" s="160"/>
      <c r="X40" s="160"/>
      <c r="Y40" s="160"/>
      <c r="Z40" s="160"/>
      <c r="AA40" s="160"/>
      <c r="AB40" s="161" t="str">
        <f t="shared" si="1"/>
        <v/>
      </c>
      <c r="AC40" s="160"/>
      <c r="AD40" s="160"/>
      <c r="AE40" s="161">
        <f t="shared" si="3"/>
        <v>0</v>
      </c>
      <c r="AF40" s="137" t="str">
        <f t="shared" si="5"/>
        <v>ED</v>
      </c>
      <c r="AG40" s="161">
        <f t="shared" si="2"/>
        <v>0</v>
      </c>
      <c r="AH40" s="230" t="b">
        <f t="shared" si="4"/>
        <v>0</v>
      </c>
      <c r="AI40" s="230"/>
      <c r="AJ40" s="230"/>
      <c r="AK40" s="230"/>
      <c r="AL40" s="230"/>
      <c r="AM40" s="230"/>
      <c r="AN40" s="185"/>
      <c r="AO40" s="185"/>
      <c r="AP40" s="185"/>
      <c r="AQ40" s="185"/>
      <c r="AR40" s="186"/>
    </row>
    <row r="41" spans="1:44" ht="12" customHeight="1" x14ac:dyDescent="0.4">
      <c r="A41" s="37">
        <v>33</v>
      </c>
      <c r="B41" s="162">
        <f>'C. FILIACION'!B40</f>
        <v>0</v>
      </c>
      <c r="C41" s="160"/>
      <c r="D41" s="160"/>
      <c r="E41" s="160"/>
      <c r="F41" s="160"/>
      <c r="G41" s="160"/>
      <c r="H41" s="160"/>
      <c r="I41" s="160"/>
      <c r="J41" s="160"/>
      <c r="K41" s="160"/>
      <c r="L41" s="160"/>
      <c r="M41" s="160"/>
      <c r="N41" s="160"/>
      <c r="O41" s="161" t="str">
        <f t="shared" si="0"/>
        <v/>
      </c>
      <c r="P41" s="160"/>
      <c r="Q41" s="160"/>
      <c r="R41" s="160"/>
      <c r="S41" s="160"/>
      <c r="T41" s="160"/>
      <c r="U41" s="160"/>
      <c r="V41" s="160"/>
      <c r="W41" s="160"/>
      <c r="X41" s="160"/>
      <c r="Y41" s="160"/>
      <c r="Z41" s="160"/>
      <c r="AA41" s="160"/>
      <c r="AB41" s="161" t="str">
        <f t="shared" si="1"/>
        <v/>
      </c>
      <c r="AC41" s="160"/>
      <c r="AD41" s="160"/>
      <c r="AE41" s="161">
        <f t="shared" si="3"/>
        <v>0</v>
      </c>
      <c r="AF41" s="137" t="str">
        <f t="shared" si="5"/>
        <v>ED</v>
      </c>
      <c r="AG41" s="161">
        <f t="shared" si="2"/>
        <v>0</v>
      </c>
      <c r="AH41" s="230" t="b">
        <f t="shared" si="4"/>
        <v>0</v>
      </c>
      <c r="AI41" s="230"/>
      <c r="AJ41" s="230"/>
      <c r="AK41" s="230"/>
      <c r="AL41" s="230"/>
      <c r="AM41" s="230"/>
      <c r="AN41" s="185"/>
      <c r="AO41" s="185"/>
      <c r="AP41" s="185"/>
      <c r="AQ41" s="185"/>
      <c r="AR41" s="186"/>
    </row>
    <row r="42" spans="1:44" ht="12" customHeight="1" x14ac:dyDescent="0.4">
      <c r="A42" s="37">
        <v>34</v>
      </c>
      <c r="B42" s="162">
        <f>'C. FILIACION'!B41</f>
        <v>0</v>
      </c>
      <c r="C42" s="160"/>
      <c r="D42" s="160"/>
      <c r="E42" s="160"/>
      <c r="F42" s="160"/>
      <c r="G42" s="160"/>
      <c r="H42" s="160"/>
      <c r="I42" s="160"/>
      <c r="J42" s="160"/>
      <c r="K42" s="160"/>
      <c r="L42" s="160"/>
      <c r="M42" s="160"/>
      <c r="N42" s="160"/>
      <c r="O42" s="161" t="str">
        <f t="shared" si="0"/>
        <v/>
      </c>
      <c r="P42" s="160"/>
      <c r="Q42" s="160"/>
      <c r="R42" s="160"/>
      <c r="S42" s="160"/>
      <c r="T42" s="160"/>
      <c r="U42" s="160"/>
      <c r="V42" s="160"/>
      <c r="W42" s="160"/>
      <c r="X42" s="160"/>
      <c r="Y42" s="160"/>
      <c r="Z42" s="160"/>
      <c r="AA42" s="160"/>
      <c r="AB42" s="161" t="str">
        <f t="shared" si="1"/>
        <v/>
      </c>
      <c r="AC42" s="160"/>
      <c r="AD42" s="160"/>
      <c r="AE42" s="161">
        <f t="shared" si="3"/>
        <v>0</v>
      </c>
      <c r="AF42" s="137" t="str">
        <f t="shared" si="5"/>
        <v>ED</v>
      </c>
      <c r="AG42" s="161">
        <f t="shared" si="2"/>
        <v>0</v>
      </c>
      <c r="AH42" s="230" t="b">
        <f t="shared" si="4"/>
        <v>0</v>
      </c>
      <c r="AI42" s="230"/>
      <c r="AJ42" s="230"/>
      <c r="AK42" s="230"/>
      <c r="AL42" s="230"/>
      <c r="AM42" s="230"/>
      <c r="AN42" s="185"/>
      <c r="AO42" s="185"/>
      <c r="AP42" s="185"/>
      <c r="AQ42" s="185"/>
      <c r="AR42" s="186"/>
    </row>
    <row r="43" spans="1:44" ht="12" customHeight="1" x14ac:dyDescent="0.4">
      <c r="A43" s="37">
        <v>35</v>
      </c>
      <c r="B43" s="162">
        <f>'C. FILIACION'!B42</f>
        <v>0</v>
      </c>
      <c r="C43" s="160"/>
      <c r="D43" s="160"/>
      <c r="E43" s="160"/>
      <c r="F43" s="160"/>
      <c r="G43" s="160"/>
      <c r="H43" s="160"/>
      <c r="I43" s="160"/>
      <c r="J43" s="160"/>
      <c r="K43" s="160"/>
      <c r="L43" s="160"/>
      <c r="M43" s="160"/>
      <c r="N43" s="160"/>
      <c r="O43" s="161" t="str">
        <f t="shared" si="0"/>
        <v/>
      </c>
      <c r="P43" s="160"/>
      <c r="Q43" s="160"/>
      <c r="R43" s="160"/>
      <c r="S43" s="160"/>
      <c r="T43" s="160"/>
      <c r="U43" s="160"/>
      <c r="V43" s="160"/>
      <c r="W43" s="160"/>
      <c r="X43" s="160"/>
      <c r="Y43" s="160"/>
      <c r="Z43" s="160"/>
      <c r="AA43" s="160"/>
      <c r="AB43" s="161" t="str">
        <f t="shared" si="1"/>
        <v/>
      </c>
      <c r="AC43" s="160"/>
      <c r="AD43" s="160"/>
      <c r="AE43" s="161">
        <f t="shared" si="3"/>
        <v>0</v>
      </c>
      <c r="AF43" s="137" t="str">
        <f t="shared" si="5"/>
        <v>ED</v>
      </c>
      <c r="AG43" s="161">
        <f t="shared" si="2"/>
        <v>0</v>
      </c>
      <c r="AH43" s="230" t="b">
        <f t="shared" si="4"/>
        <v>0</v>
      </c>
      <c r="AI43" s="230"/>
      <c r="AJ43" s="230"/>
      <c r="AK43" s="230"/>
      <c r="AL43" s="230"/>
      <c r="AM43" s="230"/>
      <c r="AN43" s="185"/>
      <c r="AO43" s="185"/>
      <c r="AP43" s="185"/>
      <c r="AQ43" s="185"/>
      <c r="AR43" s="186"/>
    </row>
    <row r="44" spans="1:44" ht="12" customHeight="1" x14ac:dyDescent="0.4">
      <c r="A44" s="37">
        <v>36</v>
      </c>
      <c r="B44" s="162">
        <f>'C. FILIACION'!B43</f>
        <v>0</v>
      </c>
      <c r="C44" s="160"/>
      <c r="D44" s="160"/>
      <c r="E44" s="160"/>
      <c r="F44" s="160"/>
      <c r="G44" s="160"/>
      <c r="H44" s="160"/>
      <c r="I44" s="160"/>
      <c r="J44" s="160"/>
      <c r="K44" s="160"/>
      <c r="L44" s="160"/>
      <c r="M44" s="160"/>
      <c r="N44" s="160"/>
      <c r="O44" s="161" t="str">
        <f t="shared" si="0"/>
        <v/>
      </c>
      <c r="P44" s="160"/>
      <c r="Q44" s="160"/>
      <c r="R44" s="160"/>
      <c r="S44" s="160"/>
      <c r="T44" s="160"/>
      <c r="U44" s="160"/>
      <c r="V44" s="160"/>
      <c r="W44" s="160"/>
      <c r="X44" s="160"/>
      <c r="Y44" s="160"/>
      <c r="Z44" s="160"/>
      <c r="AA44" s="160"/>
      <c r="AB44" s="161" t="str">
        <f t="shared" si="1"/>
        <v/>
      </c>
      <c r="AC44" s="160"/>
      <c r="AD44" s="160"/>
      <c r="AE44" s="161">
        <f t="shared" si="3"/>
        <v>0</v>
      </c>
      <c r="AF44" s="137" t="str">
        <f t="shared" si="5"/>
        <v>ED</v>
      </c>
      <c r="AG44" s="161">
        <f t="shared" si="2"/>
        <v>0</v>
      </c>
      <c r="AH44" s="230" t="b">
        <f t="shared" si="4"/>
        <v>0</v>
      </c>
      <c r="AI44" s="230"/>
      <c r="AJ44" s="230"/>
      <c r="AK44" s="230"/>
      <c r="AL44" s="230"/>
      <c r="AM44" s="230"/>
      <c r="AN44" s="185"/>
      <c r="AO44" s="185"/>
      <c r="AP44" s="185"/>
      <c r="AQ44" s="185"/>
      <c r="AR44" s="186"/>
    </row>
  </sheetData>
  <sheetProtection algorithmName="SHA-512" hashValue="iFXdqWn3Q9DvT99TPtgv3QxjmGPvSt5O0l1jaibPez2ZDDOCIert2Yw8FlWQMSVL15CDEhADG9OtLjJ+mfW9Jw==" saltValue="SOUl+jUjGj3gH+UZyFqocA==" spinCount="100000" sheet="1" objects="1" scenarios="1"/>
  <mergeCells count="64">
    <mergeCell ref="AH43:AM43"/>
    <mergeCell ref="AH44:AM44"/>
    <mergeCell ref="AH37:AM37"/>
    <mergeCell ref="AH38:AM38"/>
    <mergeCell ref="AH39:AM39"/>
    <mergeCell ref="AH40:AM40"/>
    <mergeCell ref="AH41:AM41"/>
    <mergeCell ref="AH42:AM42"/>
    <mergeCell ref="AH36:AM36"/>
    <mergeCell ref="AH25:AM25"/>
    <mergeCell ref="AH26:AM26"/>
    <mergeCell ref="AH27:AM27"/>
    <mergeCell ref="AH28:AM28"/>
    <mergeCell ref="AH29:AM29"/>
    <mergeCell ref="AH30:AM30"/>
    <mergeCell ref="AH31:AM31"/>
    <mergeCell ref="AH32:AM32"/>
    <mergeCell ref="AH33:AM33"/>
    <mergeCell ref="AH34:AM34"/>
    <mergeCell ref="AH35:AM35"/>
    <mergeCell ref="AH24:AM24"/>
    <mergeCell ref="AH13:AM13"/>
    <mergeCell ref="AH14:AM14"/>
    <mergeCell ref="AH15:AM15"/>
    <mergeCell ref="AH16:AM16"/>
    <mergeCell ref="AH17:AM17"/>
    <mergeCell ref="AH18:AM18"/>
    <mergeCell ref="AH19:AM19"/>
    <mergeCell ref="AH20:AM20"/>
    <mergeCell ref="AH21:AM21"/>
    <mergeCell ref="AH22:AM22"/>
    <mergeCell ref="AH23:AM23"/>
    <mergeCell ref="AH10:AM10"/>
    <mergeCell ref="AO10:AP10"/>
    <mergeCell ref="AH11:AM11"/>
    <mergeCell ref="AO11:AP11"/>
    <mergeCell ref="AH12:AM12"/>
    <mergeCell ref="AO12:AP12"/>
    <mergeCell ref="AO9:AP9"/>
    <mergeCell ref="C6:AA6"/>
    <mergeCell ref="AB6:AE6"/>
    <mergeCell ref="C7:C8"/>
    <mergeCell ref="D7:N7"/>
    <mergeCell ref="O7:O8"/>
    <mergeCell ref="P7:Z7"/>
    <mergeCell ref="AA7:AA8"/>
    <mergeCell ref="AB7:AB8"/>
    <mergeCell ref="AC7:AC8"/>
    <mergeCell ref="AD7:AD8"/>
    <mergeCell ref="AE7:AE8"/>
    <mergeCell ref="AF7:AF8"/>
    <mergeCell ref="AG7:AG8"/>
    <mergeCell ref="AH7:AM8"/>
    <mergeCell ref="AH9:AM9"/>
    <mergeCell ref="B2:AR2"/>
    <mergeCell ref="AC3:AH3"/>
    <mergeCell ref="AI3:AM3"/>
    <mergeCell ref="AN3:AR3"/>
    <mergeCell ref="AC4:AH4"/>
    <mergeCell ref="AI4:AM4"/>
    <mergeCell ref="AN4:AR5"/>
    <mergeCell ref="S5:AA5"/>
    <mergeCell ref="AC5:AH5"/>
    <mergeCell ref="AI5:AM5"/>
  </mergeCells>
  <dataValidations count="3">
    <dataValidation type="whole" allowBlank="1" showInputMessage="1" showErrorMessage="1" sqref="AA9:AA44 C9:C44" xr:uid="{00000000-0002-0000-0700-000000000000}">
      <formula1>0</formula1>
      <formula2>10</formula2>
    </dataValidation>
    <dataValidation type="whole" allowBlank="1" showInputMessage="1" showErrorMessage="1" sqref="D9:N44 P9:Z44" xr:uid="{00000000-0002-0000-0700-000001000000}">
      <formula1>0</formula1>
      <formula2>35</formula2>
    </dataValidation>
    <dataValidation type="whole" allowBlank="1" showInputMessage="1" showErrorMessage="1" sqref="AC9:AD44" xr:uid="{00000000-0002-0000-0700-000002000000}">
      <formula1>0</formula1>
      <formula2>5</formula2>
    </dataValidation>
  </dataValidations>
  <pageMargins left="0" right="0" top="0" bottom="0" header="0.31496062992125984" footer="0.31496062992125984"/>
  <pageSetup orientation="landscape" horizontalDpi="0" verticalDpi="0"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9">
    <tabColor rgb="FFFFC000"/>
  </sheetPr>
  <dimension ref="A1:AB44"/>
  <sheetViews>
    <sheetView topLeftCell="A5" zoomScale="120" zoomScaleNormal="120" workbookViewId="0">
      <selection activeCell="B42" sqref="B42"/>
    </sheetView>
  </sheetViews>
  <sheetFormatPr baseColWidth="10" defaultColWidth="8.7109375" defaultRowHeight="12.9" customHeight="1" x14ac:dyDescent="0.4"/>
  <cols>
    <col min="1" max="1" width="1.640625" customWidth="1"/>
    <col min="2" max="2" width="20.640625" customWidth="1"/>
    <col min="3" max="7" width="2.2109375" customWidth="1"/>
    <col min="8" max="8" width="3.2109375" customWidth="1"/>
    <col min="9" max="13" width="2.2109375" customWidth="1"/>
    <col min="14" max="14" width="3.2109375" customWidth="1"/>
    <col min="15" max="19" width="2.2109375" customWidth="1"/>
    <col min="20" max="21" width="3.2109375" customWidth="1"/>
    <col min="22" max="22" width="9" customWidth="1"/>
    <col min="23" max="24" width="2.2109375" customWidth="1"/>
    <col min="25" max="29" width="1.640625" customWidth="1"/>
  </cols>
  <sheetData>
    <row r="1" spans="1:28" ht="5.0999999999999996" customHeight="1" x14ac:dyDescent="0.4"/>
    <row r="2" spans="1:28" ht="12.9" customHeight="1" x14ac:dyDescent="0.4">
      <c r="B2" s="198" t="s">
        <v>45</v>
      </c>
      <c r="C2" s="198"/>
      <c r="D2" s="198"/>
      <c r="E2" s="198"/>
      <c r="F2" s="198"/>
      <c r="G2" s="198"/>
      <c r="H2" s="198"/>
      <c r="I2" s="198"/>
      <c r="J2" s="198"/>
      <c r="K2" s="198"/>
      <c r="L2" s="198"/>
      <c r="M2" s="198"/>
      <c r="N2" s="198"/>
      <c r="O2" s="198"/>
      <c r="P2" s="198"/>
      <c r="Q2" s="198"/>
      <c r="R2" s="198"/>
      <c r="S2" s="198"/>
      <c r="T2" s="198"/>
      <c r="U2" s="198"/>
      <c r="V2" s="198"/>
      <c r="W2" s="198"/>
      <c r="X2" s="198"/>
      <c r="Y2" s="54"/>
      <c r="Z2" s="54"/>
      <c r="AA2" s="54"/>
      <c r="AB2" s="54"/>
    </row>
    <row r="3" spans="1:28" ht="12.9" customHeight="1" x14ac:dyDescent="0.4">
      <c r="B3" s="14" t="s">
        <v>3</v>
      </c>
      <c r="C3" s="30">
        <f>CARÁTULA!$C$15</f>
        <v>0</v>
      </c>
      <c r="D3" s="29"/>
      <c r="E3" s="29"/>
      <c r="F3" s="29"/>
      <c r="G3" s="29"/>
      <c r="H3" s="29"/>
      <c r="I3" s="29"/>
      <c r="J3" s="29"/>
      <c r="K3" s="29"/>
      <c r="L3" s="29"/>
      <c r="M3" s="29"/>
      <c r="N3" s="31"/>
      <c r="O3" s="19"/>
      <c r="P3" s="19"/>
      <c r="Q3" s="19"/>
      <c r="R3" s="19" t="s">
        <v>8</v>
      </c>
      <c r="S3" s="20"/>
      <c r="T3" s="20"/>
      <c r="U3" s="28">
        <f>CARÁTULA!$C$25</f>
        <v>0</v>
      </c>
      <c r="V3" s="28"/>
      <c r="W3" s="28"/>
      <c r="X3" s="28"/>
    </row>
    <row r="4" spans="1:28" ht="12.9" customHeight="1" x14ac:dyDescent="0.4">
      <c r="B4" s="14" t="s">
        <v>6</v>
      </c>
      <c r="C4" s="30">
        <f>CARÁTULA!$C$21</f>
        <v>0</v>
      </c>
      <c r="D4" s="29"/>
      <c r="E4" s="29"/>
      <c r="F4" s="29"/>
      <c r="G4" s="29"/>
      <c r="H4" s="29"/>
      <c r="I4" s="29"/>
      <c r="J4" s="29"/>
      <c r="K4" s="29"/>
      <c r="L4" s="29"/>
      <c r="M4" s="29"/>
      <c r="N4" s="31"/>
      <c r="O4" s="19"/>
      <c r="P4" s="19"/>
      <c r="Q4" s="19"/>
      <c r="R4" s="19" t="s">
        <v>26</v>
      </c>
      <c r="S4" s="20"/>
      <c r="T4" s="1"/>
      <c r="U4" s="30">
        <f>CARÁTULA!$C$19</f>
        <v>0</v>
      </c>
      <c r="V4" s="29"/>
      <c r="W4" s="29"/>
      <c r="X4" s="29"/>
    </row>
    <row r="5" spans="1:28" ht="12.9" customHeight="1" x14ac:dyDescent="0.4">
      <c r="B5" s="14" t="s">
        <v>17</v>
      </c>
      <c r="C5" s="139">
        <f>CARÁTULA!$C$23</f>
        <v>0</v>
      </c>
      <c r="D5" s="29"/>
      <c r="E5" s="29"/>
      <c r="F5" s="29"/>
      <c r="G5" s="29"/>
      <c r="H5" s="29"/>
      <c r="I5" s="29"/>
      <c r="J5" s="29"/>
      <c r="K5" s="29"/>
      <c r="L5" s="29"/>
      <c r="M5" s="29"/>
      <c r="N5" s="34"/>
      <c r="O5" s="14"/>
      <c r="P5" s="14"/>
      <c r="Q5" s="14"/>
      <c r="R5" s="27" t="s">
        <v>19</v>
      </c>
      <c r="S5" s="21"/>
      <c r="T5" s="21"/>
      <c r="U5" s="213">
        <f ca="1">TODAY()</f>
        <v>44596</v>
      </c>
      <c r="V5" s="213"/>
      <c r="W5" s="213"/>
      <c r="X5" s="213"/>
    </row>
    <row r="6" spans="1:28" ht="12.9" customHeight="1" x14ac:dyDescent="0.4">
      <c r="B6" s="14"/>
      <c r="C6" s="259" t="s">
        <v>11</v>
      </c>
      <c r="D6" s="259"/>
      <c r="E6" s="259"/>
      <c r="F6" s="259"/>
      <c r="G6" s="259"/>
      <c r="H6" s="259"/>
      <c r="I6" s="259" t="s">
        <v>14</v>
      </c>
      <c r="J6" s="259"/>
      <c r="K6" s="259"/>
      <c r="L6" s="259"/>
      <c r="M6" s="259"/>
      <c r="N6" s="259"/>
      <c r="O6" s="259" t="s">
        <v>15</v>
      </c>
      <c r="P6" s="259"/>
      <c r="Q6" s="259"/>
      <c r="R6" s="259"/>
      <c r="S6" s="259"/>
      <c r="T6" s="259"/>
      <c r="U6" s="263" t="s">
        <v>47</v>
      </c>
      <c r="V6" s="257" t="s">
        <v>48</v>
      </c>
      <c r="W6" s="33"/>
      <c r="X6" s="33"/>
    </row>
    <row r="7" spans="1:28" ht="12" customHeight="1" x14ac:dyDescent="0.4">
      <c r="B7" s="12"/>
      <c r="C7" s="260"/>
      <c r="D7" s="260"/>
      <c r="E7" s="260"/>
      <c r="F7" s="260"/>
      <c r="G7" s="261"/>
      <c r="H7" s="258" t="s">
        <v>46</v>
      </c>
      <c r="I7" s="260"/>
      <c r="J7" s="260"/>
      <c r="K7" s="260"/>
      <c r="L7" s="260"/>
      <c r="M7" s="261"/>
      <c r="N7" s="258" t="s">
        <v>46</v>
      </c>
      <c r="O7" s="260"/>
      <c r="P7" s="260"/>
      <c r="Q7" s="260"/>
      <c r="R7" s="260"/>
      <c r="S7" s="261"/>
      <c r="T7" s="262" t="s">
        <v>46</v>
      </c>
      <c r="U7" s="263"/>
      <c r="V7" s="257"/>
      <c r="W7" s="55"/>
      <c r="X7" s="55"/>
    </row>
    <row r="8" spans="1:28" ht="68.099999999999994" customHeight="1" x14ac:dyDescent="0.4">
      <c r="A8" s="16" t="s">
        <v>27</v>
      </c>
      <c r="B8" s="38" t="s">
        <v>28</v>
      </c>
      <c r="C8" s="58" t="s">
        <v>118</v>
      </c>
      <c r="D8" s="59" t="s">
        <v>119</v>
      </c>
      <c r="E8" s="59" t="s">
        <v>120</v>
      </c>
      <c r="F8" s="59" t="s">
        <v>121</v>
      </c>
      <c r="G8" s="59" t="s">
        <v>86</v>
      </c>
      <c r="H8" s="258"/>
      <c r="I8" s="58" t="s">
        <v>118</v>
      </c>
      <c r="J8" s="59" t="s">
        <v>119</v>
      </c>
      <c r="K8" s="59" t="s">
        <v>120</v>
      </c>
      <c r="L8" s="59" t="s">
        <v>121</v>
      </c>
      <c r="M8" s="59" t="s">
        <v>86</v>
      </c>
      <c r="N8" s="258"/>
      <c r="O8" s="58" t="s">
        <v>118</v>
      </c>
      <c r="P8" s="59" t="s">
        <v>119</v>
      </c>
      <c r="Q8" s="59" t="s">
        <v>120</v>
      </c>
      <c r="R8" s="59" t="s">
        <v>121</v>
      </c>
      <c r="S8" s="59" t="s">
        <v>86</v>
      </c>
      <c r="T8" s="262"/>
      <c r="U8" s="263"/>
      <c r="V8" s="257"/>
      <c r="W8" s="56"/>
      <c r="X8" s="56"/>
    </row>
    <row r="9" spans="1:28" ht="12" customHeight="1" x14ac:dyDescent="0.4">
      <c r="A9" s="37">
        <v>1</v>
      </c>
      <c r="B9" s="18">
        <f>'C. FILIACION'!B8</f>
        <v>0</v>
      </c>
      <c r="C9" s="11">
        <f>'VAL 1 TRIM '!C9</f>
        <v>10</v>
      </c>
      <c r="D9" s="11">
        <f>'VAL 1 TRIM '!O9</f>
        <v>35</v>
      </c>
      <c r="E9" s="11">
        <f>'VAL 1 TRIM '!AB9</f>
        <v>35</v>
      </c>
      <c r="F9" s="11">
        <f>'VAL 1 TRIM '!AE9</f>
        <v>10</v>
      </c>
      <c r="G9" s="11">
        <f>'VAL 1 TRIM '!AE9</f>
        <v>10</v>
      </c>
      <c r="H9" s="60">
        <f>'VAL 1 TRIM '!AG9</f>
        <v>100</v>
      </c>
      <c r="I9" s="11">
        <f>'VAL 2 TRIM'!C9</f>
        <v>10</v>
      </c>
      <c r="J9" s="11">
        <f>'VAL 2 TRIM'!O9</f>
        <v>35</v>
      </c>
      <c r="K9" s="11">
        <f>'VAL 2 TRIM'!AB9</f>
        <v>35</v>
      </c>
      <c r="L9" s="11">
        <f>'VAL 2 TRIM'!AA9</f>
        <v>10</v>
      </c>
      <c r="M9" s="11">
        <f>'VAL 2 TRIM'!AE9</f>
        <v>10</v>
      </c>
      <c r="N9" s="60">
        <f>'VAL 2 TRIM'!AG9</f>
        <v>100</v>
      </c>
      <c r="O9" s="11">
        <f>'VAL 3 TRIM'!C9</f>
        <v>10</v>
      </c>
      <c r="P9" s="11">
        <f>'VAL 3 TRIM'!O9</f>
        <v>35</v>
      </c>
      <c r="Q9" s="11">
        <f>'VAL 3 TRIM'!AB9</f>
        <v>35</v>
      </c>
      <c r="R9" s="11">
        <f>'VAL 3 TRIM'!AA9</f>
        <v>10</v>
      </c>
      <c r="S9" s="11">
        <f>'VAL 3 TRIM'!AE9</f>
        <v>10</v>
      </c>
      <c r="T9" s="60">
        <f>'VAL 3 TRIM'!AG9</f>
        <v>100</v>
      </c>
      <c r="U9" s="140">
        <f>AVERAGE(H9,N9,T9)</f>
        <v>100</v>
      </c>
      <c r="V9" s="52" t="str">
        <f>IF(U9="","",(IF(AND(U9&gt;=1,U9&lt;=50.499),"REPROBADO",IF(AND(U9&gt;=50.5,U9&lt;=100),"APROBADO"))))</f>
        <v>APROBADO</v>
      </c>
      <c r="W9" s="51"/>
      <c r="X9" s="51"/>
    </row>
    <row r="10" spans="1:28" ht="12" customHeight="1" x14ac:dyDescent="0.4">
      <c r="A10" s="37">
        <v>2</v>
      </c>
      <c r="B10" s="18">
        <f>'C. FILIACION'!B9</f>
        <v>0</v>
      </c>
      <c r="C10" s="17">
        <f>'VAL 1 TRIM '!C10</f>
        <v>0</v>
      </c>
      <c r="D10" s="17" t="str">
        <f>'VAL 1 TRIM '!O10</f>
        <v/>
      </c>
      <c r="E10" s="159" t="str">
        <f>'VAL 1 TRIM '!AB10</f>
        <v/>
      </c>
      <c r="F10" s="159">
        <f>'VAL 1 TRIM '!AE10</f>
        <v>0</v>
      </c>
      <c r="G10" s="17">
        <f>'VAL 1 TRIM '!AE10</f>
        <v>0</v>
      </c>
      <c r="H10" s="60">
        <f>'VAL 1 TRIM '!AG10</f>
        <v>0</v>
      </c>
      <c r="I10" s="11">
        <f>'VAL 2 TRIM'!C10</f>
        <v>0</v>
      </c>
      <c r="J10" s="11" t="str">
        <f>'VAL 2 TRIM'!O10</f>
        <v/>
      </c>
      <c r="K10" s="11" t="str">
        <f>'VAL 2 TRIM'!AB10</f>
        <v/>
      </c>
      <c r="L10" s="11">
        <f>'VAL 2 TRIM'!AA10</f>
        <v>0</v>
      </c>
      <c r="M10" s="11">
        <f>'VAL 2 TRIM'!AE10</f>
        <v>0</v>
      </c>
      <c r="N10" s="60">
        <f>'VAL 2 TRIM'!AG10</f>
        <v>0</v>
      </c>
      <c r="O10" s="11">
        <f>'VAL 3 TRIM'!C10</f>
        <v>0</v>
      </c>
      <c r="P10" s="11" t="str">
        <f>'VAL 3 TRIM'!O10</f>
        <v/>
      </c>
      <c r="Q10" s="11" t="str">
        <f>'VAL 3 TRIM'!AB10</f>
        <v/>
      </c>
      <c r="R10" s="11">
        <f>'VAL 3 TRIM'!AA10</f>
        <v>0</v>
      </c>
      <c r="S10" s="17">
        <f>'VAL 3 TRIM'!AE10</f>
        <v>0</v>
      </c>
      <c r="T10" s="60">
        <f>'VAL 3 TRIM'!AG10</f>
        <v>0</v>
      </c>
      <c r="U10" s="140">
        <f t="shared" ref="U10:U44" si="0">AVERAGE(H10,N10,T10)</f>
        <v>0</v>
      </c>
      <c r="V10" s="52" t="b">
        <f t="shared" ref="V10:V44" si="1">IF(U10="","",(IF(AND(U10&gt;=1,U10&lt;=50.499),"REPROBADO",IF(AND(U10&gt;=50.5,U10&lt;=100),"APROBADO"))))</f>
        <v>0</v>
      </c>
      <c r="W10" s="51"/>
      <c r="X10" s="51"/>
    </row>
    <row r="11" spans="1:28" ht="12" customHeight="1" x14ac:dyDescent="0.4">
      <c r="A11" s="37">
        <v>3</v>
      </c>
      <c r="B11" s="18">
        <f>'C. FILIACION'!B10</f>
        <v>0</v>
      </c>
      <c r="C11" s="17">
        <f>'VAL 1 TRIM '!C11</f>
        <v>0</v>
      </c>
      <c r="D11" s="17" t="str">
        <f>'VAL 1 TRIM '!O11</f>
        <v/>
      </c>
      <c r="E11" s="159" t="str">
        <f>'VAL 1 TRIM '!AB11</f>
        <v/>
      </c>
      <c r="F11" s="159">
        <f>'VAL 1 TRIM '!AE11</f>
        <v>0</v>
      </c>
      <c r="G11" s="17">
        <f>'VAL 1 TRIM '!AE11</f>
        <v>0</v>
      </c>
      <c r="H11" s="60">
        <f>'VAL 1 TRIM '!AG11</f>
        <v>0</v>
      </c>
      <c r="I11" s="11">
        <f>'VAL 2 TRIM'!C11</f>
        <v>0</v>
      </c>
      <c r="J11" s="11" t="str">
        <f>'VAL 2 TRIM'!O11</f>
        <v/>
      </c>
      <c r="K11" s="11" t="str">
        <f>'VAL 2 TRIM'!AB11</f>
        <v/>
      </c>
      <c r="L11" s="11">
        <f>'VAL 2 TRIM'!AA11</f>
        <v>0</v>
      </c>
      <c r="M11" s="11">
        <f>'VAL 2 TRIM'!AE11</f>
        <v>0</v>
      </c>
      <c r="N11" s="60">
        <f>'VAL 2 TRIM'!AG11</f>
        <v>0</v>
      </c>
      <c r="O11" s="11">
        <f>'VAL 3 TRIM'!C11</f>
        <v>0</v>
      </c>
      <c r="P11" s="11" t="str">
        <f>'VAL 3 TRIM'!O11</f>
        <v/>
      </c>
      <c r="Q11" s="11" t="str">
        <f>'VAL 3 TRIM'!AB11</f>
        <v/>
      </c>
      <c r="R11" s="11">
        <f>'VAL 3 TRIM'!AA11</f>
        <v>0</v>
      </c>
      <c r="S11" s="17">
        <f>'VAL 3 TRIM'!AE11</f>
        <v>0</v>
      </c>
      <c r="T11" s="60">
        <f>'VAL 3 TRIM'!AG11</f>
        <v>0</v>
      </c>
      <c r="U11" s="140">
        <f t="shared" si="0"/>
        <v>0</v>
      </c>
      <c r="V11" s="52" t="b">
        <f t="shared" si="1"/>
        <v>0</v>
      </c>
      <c r="W11" s="51"/>
      <c r="X11" s="51"/>
    </row>
    <row r="12" spans="1:28" ht="12" customHeight="1" x14ac:dyDescent="0.4">
      <c r="A12" s="37">
        <v>4</v>
      </c>
      <c r="B12" s="18">
        <f>'C. FILIACION'!B11</f>
        <v>0</v>
      </c>
      <c r="C12" s="17">
        <f>'VAL 1 TRIM '!C12</f>
        <v>0</v>
      </c>
      <c r="D12" s="17" t="str">
        <f>'VAL 1 TRIM '!O12</f>
        <v/>
      </c>
      <c r="E12" s="159" t="str">
        <f>'VAL 1 TRIM '!AB12</f>
        <v/>
      </c>
      <c r="F12" s="159">
        <f>'VAL 1 TRIM '!AE12</f>
        <v>0</v>
      </c>
      <c r="G12" s="17">
        <f>'VAL 1 TRIM '!AE12</f>
        <v>0</v>
      </c>
      <c r="H12" s="60">
        <f>'VAL 1 TRIM '!AG12</f>
        <v>0</v>
      </c>
      <c r="I12" s="11">
        <f>'VAL 2 TRIM'!C12</f>
        <v>0</v>
      </c>
      <c r="J12" s="11" t="str">
        <f>'VAL 2 TRIM'!O12</f>
        <v/>
      </c>
      <c r="K12" s="11" t="str">
        <f>'VAL 2 TRIM'!AB12</f>
        <v/>
      </c>
      <c r="L12" s="11">
        <f>'VAL 2 TRIM'!AA12</f>
        <v>0</v>
      </c>
      <c r="M12" s="11">
        <f>'VAL 2 TRIM'!AE12</f>
        <v>0</v>
      </c>
      <c r="N12" s="60">
        <f>'VAL 2 TRIM'!AG12</f>
        <v>0</v>
      </c>
      <c r="O12" s="11">
        <f>'VAL 3 TRIM'!C12</f>
        <v>0</v>
      </c>
      <c r="P12" s="11" t="str">
        <f>'VAL 3 TRIM'!O12</f>
        <v/>
      </c>
      <c r="Q12" s="11" t="str">
        <f>'VAL 3 TRIM'!AB12</f>
        <v/>
      </c>
      <c r="R12" s="11">
        <f>'VAL 3 TRIM'!AA12</f>
        <v>0</v>
      </c>
      <c r="S12" s="17">
        <f>'VAL 3 TRIM'!AE12</f>
        <v>0</v>
      </c>
      <c r="T12" s="60">
        <f>'VAL 3 TRIM'!AG12</f>
        <v>0</v>
      </c>
      <c r="U12" s="140">
        <f t="shared" si="0"/>
        <v>0</v>
      </c>
      <c r="V12" s="52" t="b">
        <f t="shared" si="1"/>
        <v>0</v>
      </c>
      <c r="W12" s="51"/>
      <c r="X12" s="51"/>
    </row>
    <row r="13" spans="1:28" ht="12" customHeight="1" x14ac:dyDescent="0.4">
      <c r="A13" s="37">
        <v>5</v>
      </c>
      <c r="B13" s="18">
        <f>'C. FILIACION'!B12</f>
        <v>0</v>
      </c>
      <c r="C13" s="17">
        <f>'VAL 1 TRIM '!C13</f>
        <v>0</v>
      </c>
      <c r="D13" s="17" t="str">
        <f>'VAL 1 TRIM '!O13</f>
        <v/>
      </c>
      <c r="E13" s="159" t="str">
        <f>'VAL 1 TRIM '!AB13</f>
        <v/>
      </c>
      <c r="F13" s="159">
        <f>'VAL 1 TRIM '!AE13</f>
        <v>0</v>
      </c>
      <c r="G13" s="17">
        <f>'VAL 1 TRIM '!AE13</f>
        <v>0</v>
      </c>
      <c r="H13" s="60">
        <f>'VAL 1 TRIM '!AG13</f>
        <v>0</v>
      </c>
      <c r="I13" s="11">
        <f>'VAL 2 TRIM'!C13</f>
        <v>0</v>
      </c>
      <c r="J13" s="11" t="str">
        <f>'VAL 2 TRIM'!O13</f>
        <v/>
      </c>
      <c r="K13" s="11" t="str">
        <f>'VAL 2 TRIM'!AB13</f>
        <v/>
      </c>
      <c r="L13" s="11">
        <f>'VAL 2 TRIM'!AA13</f>
        <v>0</v>
      </c>
      <c r="M13" s="11">
        <f>'VAL 2 TRIM'!AE13</f>
        <v>0</v>
      </c>
      <c r="N13" s="60">
        <f>'VAL 2 TRIM'!AG13</f>
        <v>0</v>
      </c>
      <c r="O13" s="11">
        <f>'VAL 3 TRIM'!C13</f>
        <v>0</v>
      </c>
      <c r="P13" s="11" t="str">
        <f>'VAL 3 TRIM'!O13</f>
        <v/>
      </c>
      <c r="Q13" s="11" t="str">
        <f>'VAL 3 TRIM'!AB13</f>
        <v/>
      </c>
      <c r="R13" s="11">
        <f>'VAL 3 TRIM'!AA13</f>
        <v>0</v>
      </c>
      <c r="S13" s="17">
        <f>'VAL 3 TRIM'!AE13</f>
        <v>0</v>
      </c>
      <c r="T13" s="60">
        <f>'VAL 3 TRIM'!AG13</f>
        <v>0</v>
      </c>
      <c r="U13" s="140">
        <f t="shared" si="0"/>
        <v>0</v>
      </c>
      <c r="V13" s="52" t="b">
        <f t="shared" si="1"/>
        <v>0</v>
      </c>
      <c r="W13" s="51"/>
      <c r="X13" s="51"/>
    </row>
    <row r="14" spans="1:28" ht="12" customHeight="1" x14ac:dyDescent="0.4">
      <c r="A14" s="37">
        <v>6</v>
      </c>
      <c r="B14" s="18">
        <f>'C. FILIACION'!B13</f>
        <v>0</v>
      </c>
      <c r="C14" s="17">
        <f>'VAL 1 TRIM '!C14</f>
        <v>0</v>
      </c>
      <c r="D14" s="17" t="str">
        <f>'VAL 1 TRIM '!O14</f>
        <v/>
      </c>
      <c r="E14" s="159" t="str">
        <f>'VAL 1 TRIM '!AB14</f>
        <v/>
      </c>
      <c r="F14" s="159">
        <f>'VAL 1 TRIM '!AE14</f>
        <v>0</v>
      </c>
      <c r="G14" s="17">
        <f>'VAL 1 TRIM '!AE14</f>
        <v>0</v>
      </c>
      <c r="H14" s="60">
        <f>'VAL 1 TRIM '!AG14</f>
        <v>0</v>
      </c>
      <c r="I14" s="11">
        <f>'VAL 2 TRIM'!C14</f>
        <v>0</v>
      </c>
      <c r="J14" s="11" t="str">
        <f>'VAL 2 TRIM'!O14</f>
        <v/>
      </c>
      <c r="K14" s="11" t="str">
        <f>'VAL 2 TRIM'!AB14</f>
        <v/>
      </c>
      <c r="L14" s="11">
        <f>'VAL 2 TRIM'!AA14</f>
        <v>0</v>
      </c>
      <c r="M14" s="11">
        <f>'VAL 2 TRIM'!AE14</f>
        <v>0</v>
      </c>
      <c r="N14" s="60">
        <f>'VAL 2 TRIM'!AG14</f>
        <v>0</v>
      </c>
      <c r="O14" s="11">
        <f>'VAL 3 TRIM'!C14</f>
        <v>0</v>
      </c>
      <c r="P14" s="11" t="str">
        <f>'VAL 3 TRIM'!O14</f>
        <v/>
      </c>
      <c r="Q14" s="11" t="str">
        <f>'VAL 3 TRIM'!AB14</f>
        <v/>
      </c>
      <c r="R14" s="11">
        <f>'VAL 3 TRIM'!AA14</f>
        <v>0</v>
      </c>
      <c r="S14" s="17">
        <f>'VAL 3 TRIM'!AE14</f>
        <v>0</v>
      </c>
      <c r="T14" s="60">
        <f>'VAL 3 TRIM'!AG14</f>
        <v>0</v>
      </c>
      <c r="U14" s="140">
        <f t="shared" si="0"/>
        <v>0</v>
      </c>
      <c r="V14" s="52" t="b">
        <f t="shared" si="1"/>
        <v>0</v>
      </c>
      <c r="W14" s="51"/>
      <c r="X14" s="51"/>
    </row>
    <row r="15" spans="1:28" ht="12" customHeight="1" x14ac:dyDescent="0.4">
      <c r="A15" s="37">
        <v>7</v>
      </c>
      <c r="B15" s="18">
        <f>'C. FILIACION'!B14</f>
        <v>0</v>
      </c>
      <c r="C15" s="17">
        <f>'VAL 1 TRIM '!C15</f>
        <v>0</v>
      </c>
      <c r="D15" s="17" t="str">
        <f>'VAL 1 TRIM '!O15</f>
        <v/>
      </c>
      <c r="E15" s="159" t="str">
        <f>'VAL 1 TRIM '!AB15</f>
        <v/>
      </c>
      <c r="F15" s="159">
        <f>'VAL 1 TRIM '!AE15</f>
        <v>0</v>
      </c>
      <c r="G15" s="17">
        <f>'VAL 1 TRIM '!AE15</f>
        <v>0</v>
      </c>
      <c r="H15" s="60">
        <f>'VAL 1 TRIM '!AG15</f>
        <v>0</v>
      </c>
      <c r="I15" s="11">
        <f>'VAL 2 TRIM'!C15</f>
        <v>0</v>
      </c>
      <c r="J15" s="11" t="str">
        <f>'VAL 2 TRIM'!O15</f>
        <v/>
      </c>
      <c r="K15" s="11" t="str">
        <f>'VAL 2 TRIM'!AB15</f>
        <v/>
      </c>
      <c r="L15" s="11">
        <f>'VAL 2 TRIM'!AA15</f>
        <v>0</v>
      </c>
      <c r="M15" s="11">
        <f>'VAL 2 TRIM'!AE15</f>
        <v>0</v>
      </c>
      <c r="N15" s="60">
        <f>'VAL 2 TRIM'!AG15</f>
        <v>0</v>
      </c>
      <c r="O15" s="11">
        <f>'VAL 3 TRIM'!C15</f>
        <v>0</v>
      </c>
      <c r="P15" s="11" t="str">
        <f>'VAL 3 TRIM'!O15</f>
        <v/>
      </c>
      <c r="Q15" s="11" t="str">
        <f>'VAL 3 TRIM'!AB15</f>
        <v/>
      </c>
      <c r="R15" s="11">
        <f>'VAL 3 TRIM'!AA15</f>
        <v>0</v>
      </c>
      <c r="S15" s="17">
        <f>'VAL 3 TRIM'!AE15</f>
        <v>0</v>
      </c>
      <c r="T15" s="60">
        <f>'VAL 3 TRIM'!AG15</f>
        <v>0</v>
      </c>
      <c r="U15" s="140">
        <f t="shared" si="0"/>
        <v>0</v>
      </c>
      <c r="V15" s="52" t="b">
        <f t="shared" si="1"/>
        <v>0</v>
      </c>
      <c r="W15" s="51"/>
      <c r="X15" s="51"/>
    </row>
    <row r="16" spans="1:28" ht="12" customHeight="1" x14ac:dyDescent="0.4">
      <c r="A16" s="37">
        <v>8</v>
      </c>
      <c r="B16" s="18">
        <f>'C. FILIACION'!B15</f>
        <v>0</v>
      </c>
      <c r="C16" s="17">
        <f>'VAL 1 TRIM '!C16</f>
        <v>0</v>
      </c>
      <c r="D16" s="17" t="str">
        <f>'VAL 1 TRIM '!O16</f>
        <v/>
      </c>
      <c r="E16" s="159" t="str">
        <f>'VAL 1 TRIM '!AB16</f>
        <v/>
      </c>
      <c r="F16" s="159">
        <f>'VAL 1 TRIM '!AE16</f>
        <v>0</v>
      </c>
      <c r="G16" s="17">
        <f>'VAL 1 TRIM '!AE16</f>
        <v>0</v>
      </c>
      <c r="H16" s="60">
        <f>'VAL 1 TRIM '!AG16</f>
        <v>0</v>
      </c>
      <c r="I16" s="11">
        <f>'VAL 2 TRIM'!C16</f>
        <v>0</v>
      </c>
      <c r="J16" s="11" t="str">
        <f>'VAL 2 TRIM'!O16</f>
        <v/>
      </c>
      <c r="K16" s="11" t="str">
        <f>'VAL 2 TRIM'!AB16</f>
        <v/>
      </c>
      <c r="L16" s="11">
        <f>'VAL 2 TRIM'!AA16</f>
        <v>0</v>
      </c>
      <c r="M16" s="11">
        <f>'VAL 2 TRIM'!AE16</f>
        <v>0</v>
      </c>
      <c r="N16" s="60">
        <f>'VAL 2 TRIM'!AG16</f>
        <v>0</v>
      </c>
      <c r="O16" s="11">
        <f>'VAL 3 TRIM'!C16</f>
        <v>0</v>
      </c>
      <c r="P16" s="11" t="str">
        <f>'VAL 3 TRIM'!O16</f>
        <v/>
      </c>
      <c r="Q16" s="11" t="str">
        <f>'VAL 3 TRIM'!AB16</f>
        <v/>
      </c>
      <c r="R16" s="11">
        <f>'VAL 3 TRIM'!AA16</f>
        <v>0</v>
      </c>
      <c r="S16" s="17">
        <f>'VAL 3 TRIM'!AE16</f>
        <v>0</v>
      </c>
      <c r="T16" s="60">
        <f>'VAL 3 TRIM'!AG16</f>
        <v>0</v>
      </c>
      <c r="U16" s="140">
        <f t="shared" si="0"/>
        <v>0</v>
      </c>
      <c r="V16" s="52" t="b">
        <f t="shared" si="1"/>
        <v>0</v>
      </c>
      <c r="W16" s="51"/>
      <c r="X16" s="51"/>
    </row>
    <row r="17" spans="1:24" ht="12" customHeight="1" x14ac:dyDescent="0.4">
      <c r="A17" s="37">
        <v>9</v>
      </c>
      <c r="B17" s="18">
        <f>'C. FILIACION'!B16</f>
        <v>0</v>
      </c>
      <c r="C17" s="17">
        <f>'VAL 1 TRIM '!C17</f>
        <v>0</v>
      </c>
      <c r="D17" s="17" t="str">
        <f>'VAL 1 TRIM '!O17</f>
        <v/>
      </c>
      <c r="E17" s="159" t="str">
        <f>'VAL 1 TRIM '!AB17</f>
        <v/>
      </c>
      <c r="F17" s="159">
        <f>'VAL 1 TRIM '!AE17</f>
        <v>0</v>
      </c>
      <c r="G17" s="17">
        <f>'VAL 1 TRIM '!AE17</f>
        <v>0</v>
      </c>
      <c r="H17" s="60">
        <f>'VAL 1 TRIM '!AG17</f>
        <v>0</v>
      </c>
      <c r="I17" s="11">
        <f>'VAL 2 TRIM'!C17</f>
        <v>0</v>
      </c>
      <c r="J17" s="11" t="str">
        <f>'VAL 2 TRIM'!O17</f>
        <v/>
      </c>
      <c r="K17" s="11" t="str">
        <f>'VAL 2 TRIM'!AB17</f>
        <v/>
      </c>
      <c r="L17" s="11">
        <f>'VAL 2 TRIM'!AA17</f>
        <v>0</v>
      </c>
      <c r="M17" s="11">
        <f>'VAL 2 TRIM'!AE17</f>
        <v>0</v>
      </c>
      <c r="N17" s="60">
        <f>'VAL 2 TRIM'!AG17</f>
        <v>0</v>
      </c>
      <c r="O17" s="11">
        <f>'VAL 3 TRIM'!C17</f>
        <v>0</v>
      </c>
      <c r="P17" s="11" t="str">
        <f>'VAL 3 TRIM'!O17</f>
        <v/>
      </c>
      <c r="Q17" s="11" t="str">
        <f>'VAL 3 TRIM'!AB17</f>
        <v/>
      </c>
      <c r="R17" s="11">
        <f>'VAL 3 TRIM'!AA17</f>
        <v>0</v>
      </c>
      <c r="S17" s="17">
        <f>'VAL 3 TRIM'!AE17</f>
        <v>0</v>
      </c>
      <c r="T17" s="60">
        <f>'VAL 3 TRIM'!AG17</f>
        <v>0</v>
      </c>
      <c r="U17" s="140">
        <f t="shared" si="0"/>
        <v>0</v>
      </c>
      <c r="V17" s="52" t="b">
        <f t="shared" si="1"/>
        <v>0</v>
      </c>
      <c r="W17" s="51"/>
      <c r="X17" s="51"/>
    </row>
    <row r="18" spans="1:24" ht="12" customHeight="1" x14ac:dyDescent="0.4">
      <c r="A18" s="37">
        <v>10</v>
      </c>
      <c r="B18" s="18">
        <f>'C. FILIACION'!B17</f>
        <v>0</v>
      </c>
      <c r="C18" s="17">
        <f>'VAL 1 TRIM '!C18</f>
        <v>0</v>
      </c>
      <c r="D18" s="17" t="str">
        <f>'VAL 1 TRIM '!O18</f>
        <v/>
      </c>
      <c r="E18" s="159" t="str">
        <f>'VAL 1 TRIM '!AB18</f>
        <v/>
      </c>
      <c r="F18" s="159">
        <f>'VAL 1 TRIM '!AE18</f>
        <v>0</v>
      </c>
      <c r="G18" s="17">
        <f>'VAL 1 TRIM '!AE18</f>
        <v>0</v>
      </c>
      <c r="H18" s="60">
        <f>'VAL 1 TRIM '!AG18</f>
        <v>0</v>
      </c>
      <c r="I18" s="11">
        <f>'VAL 2 TRIM'!C18</f>
        <v>0</v>
      </c>
      <c r="J18" s="11" t="str">
        <f>'VAL 2 TRIM'!O18</f>
        <v/>
      </c>
      <c r="K18" s="11" t="str">
        <f>'VAL 2 TRIM'!AB18</f>
        <v/>
      </c>
      <c r="L18" s="11">
        <f>'VAL 2 TRIM'!AA18</f>
        <v>0</v>
      </c>
      <c r="M18" s="11">
        <f>'VAL 2 TRIM'!AE18</f>
        <v>0</v>
      </c>
      <c r="N18" s="60">
        <f>'VAL 2 TRIM'!AG18</f>
        <v>0</v>
      </c>
      <c r="O18" s="11">
        <f>'VAL 3 TRIM'!C18</f>
        <v>0</v>
      </c>
      <c r="P18" s="11" t="str">
        <f>'VAL 3 TRIM'!O18</f>
        <v/>
      </c>
      <c r="Q18" s="11" t="str">
        <f>'VAL 3 TRIM'!AB18</f>
        <v/>
      </c>
      <c r="R18" s="11">
        <f>'VAL 3 TRIM'!AA18</f>
        <v>0</v>
      </c>
      <c r="S18" s="17">
        <f>'VAL 3 TRIM'!AE18</f>
        <v>0</v>
      </c>
      <c r="T18" s="60">
        <f>'VAL 3 TRIM'!AG18</f>
        <v>0</v>
      </c>
      <c r="U18" s="140">
        <f t="shared" si="0"/>
        <v>0</v>
      </c>
      <c r="V18" s="52" t="b">
        <f t="shared" si="1"/>
        <v>0</v>
      </c>
      <c r="W18" s="51"/>
      <c r="X18" s="51"/>
    </row>
    <row r="19" spans="1:24" ht="12" customHeight="1" x14ac:dyDescent="0.4">
      <c r="A19" s="37">
        <v>11</v>
      </c>
      <c r="B19" s="18">
        <f>'C. FILIACION'!B18</f>
        <v>0</v>
      </c>
      <c r="C19" s="17">
        <f>'VAL 1 TRIM '!C19</f>
        <v>0</v>
      </c>
      <c r="D19" s="17" t="str">
        <f>'VAL 1 TRIM '!O19</f>
        <v/>
      </c>
      <c r="E19" s="159" t="str">
        <f>'VAL 1 TRIM '!AB19</f>
        <v/>
      </c>
      <c r="F19" s="159">
        <f>'VAL 1 TRIM '!AE19</f>
        <v>0</v>
      </c>
      <c r="G19" s="17">
        <f>'VAL 1 TRIM '!AE19</f>
        <v>0</v>
      </c>
      <c r="H19" s="60">
        <f>'VAL 1 TRIM '!AG19</f>
        <v>0</v>
      </c>
      <c r="I19" s="11">
        <f>'VAL 2 TRIM'!C19</f>
        <v>0</v>
      </c>
      <c r="J19" s="11" t="str">
        <f>'VAL 2 TRIM'!O19</f>
        <v/>
      </c>
      <c r="K19" s="11" t="str">
        <f>'VAL 2 TRIM'!AB19</f>
        <v/>
      </c>
      <c r="L19" s="11">
        <f>'VAL 2 TRIM'!AA19</f>
        <v>0</v>
      </c>
      <c r="M19" s="11">
        <f>'VAL 2 TRIM'!AE19</f>
        <v>0</v>
      </c>
      <c r="N19" s="60">
        <f>'VAL 2 TRIM'!AG19</f>
        <v>0</v>
      </c>
      <c r="O19" s="11">
        <f>'VAL 3 TRIM'!C19</f>
        <v>0</v>
      </c>
      <c r="P19" s="11" t="str">
        <f>'VAL 3 TRIM'!O19</f>
        <v/>
      </c>
      <c r="Q19" s="11" t="str">
        <f>'VAL 3 TRIM'!AB19</f>
        <v/>
      </c>
      <c r="R19" s="11">
        <f>'VAL 3 TRIM'!AA19</f>
        <v>0</v>
      </c>
      <c r="S19" s="17">
        <f>'VAL 3 TRIM'!AE19</f>
        <v>0</v>
      </c>
      <c r="T19" s="60">
        <f>'VAL 3 TRIM'!AG19</f>
        <v>0</v>
      </c>
      <c r="U19" s="140">
        <f t="shared" si="0"/>
        <v>0</v>
      </c>
      <c r="V19" s="52" t="b">
        <f t="shared" si="1"/>
        <v>0</v>
      </c>
      <c r="W19" s="51"/>
      <c r="X19" s="51"/>
    </row>
    <row r="20" spans="1:24" ht="12" customHeight="1" x14ac:dyDescent="0.4">
      <c r="A20" s="37">
        <v>12</v>
      </c>
      <c r="B20" s="18">
        <f>'C. FILIACION'!B19</f>
        <v>0</v>
      </c>
      <c r="C20" s="17">
        <f>'VAL 1 TRIM '!C20</f>
        <v>0</v>
      </c>
      <c r="D20" s="17" t="str">
        <f>'VAL 1 TRIM '!O20</f>
        <v/>
      </c>
      <c r="E20" s="159" t="str">
        <f>'VAL 1 TRIM '!AB20</f>
        <v/>
      </c>
      <c r="F20" s="159">
        <f>'VAL 1 TRIM '!AE20</f>
        <v>0</v>
      </c>
      <c r="G20" s="17">
        <f>'VAL 1 TRIM '!AE20</f>
        <v>0</v>
      </c>
      <c r="H20" s="60">
        <f>'VAL 1 TRIM '!AG20</f>
        <v>0</v>
      </c>
      <c r="I20" s="11">
        <f>'VAL 2 TRIM'!C20</f>
        <v>0</v>
      </c>
      <c r="J20" s="11" t="str">
        <f>'VAL 2 TRIM'!O20</f>
        <v/>
      </c>
      <c r="K20" s="11" t="str">
        <f>'VAL 2 TRIM'!AB20</f>
        <v/>
      </c>
      <c r="L20" s="11">
        <f>'VAL 2 TRIM'!AA20</f>
        <v>0</v>
      </c>
      <c r="M20" s="11">
        <f>'VAL 2 TRIM'!AE20</f>
        <v>0</v>
      </c>
      <c r="N20" s="60">
        <f>'VAL 2 TRIM'!AG20</f>
        <v>0</v>
      </c>
      <c r="O20" s="11">
        <f>'VAL 3 TRIM'!C20</f>
        <v>0</v>
      </c>
      <c r="P20" s="11" t="str">
        <f>'VAL 3 TRIM'!O20</f>
        <v/>
      </c>
      <c r="Q20" s="11" t="str">
        <f>'VAL 3 TRIM'!AB20</f>
        <v/>
      </c>
      <c r="R20" s="11">
        <f>'VAL 3 TRIM'!AA20</f>
        <v>0</v>
      </c>
      <c r="S20" s="17">
        <f>'VAL 3 TRIM'!AE20</f>
        <v>0</v>
      </c>
      <c r="T20" s="60">
        <f>'VAL 3 TRIM'!AG20</f>
        <v>0</v>
      </c>
      <c r="U20" s="140">
        <f t="shared" si="0"/>
        <v>0</v>
      </c>
      <c r="V20" s="52" t="b">
        <f t="shared" si="1"/>
        <v>0</v>
      </c>
      <c r="W20" s="51"/>
      <c r="X20" s="51"/>
    </row>
    <row r="21" spans="1:24" ht="12" customHeight="1" x14ac:dyDescent="0.4">
      <c r="A21" s="37">
        <v>13</v>
      </c>
      <c r="B21" s="18">
        <f>'C. FILIACION'!B20</f>
        <v>0</v>
      </c>
      <c r="C21" s="17">
        <f>'VAL 1 TRIM '!C21</f>
        <v>0</v>
      </c>
      <c r="D21" s="17" t="str">
        <f>'VAL 1 TRIM '!O21</f>
        <v/>
      </c>
      <c r="E21" s="159" t="str">
        <f>'VAL 1 TRIM '!AB21</f>
        <v/>
      </c>
      <c r="F21" s="159">
        <f>'VAL 1 TRIM '!AE21</f>
        <v>0</v>
      </c>
      <c r="G21" s="17">
        <f>'VAL 1 TRIM '!AE21</f>
        <v>0</v>
      </c>
      <c r="H21" s="60">
        <f>'VAL 1 TRIM '!AG21</f>
        <v>0</v>
      </c>
      <c r="I21" s="11">
        <f>'VAL 2 TRIM'!C21</f>
        <v>0</v>
      </c>
      <c r="J21" s="11" t="str">
        <f>'VAL 2 TRIM'!O21</f>
        <v/>
      </c>
      <c r="K21" s="11" t="str">
        <f>'VAL 2 TRIM'!AB21</f>
        <v/>
      </c>
      <c r="L21" s="11">
        <f>'VAL 2 TRIM'!AA21</f>
        <v>0</v>
      </c>
      <c r="M21" s="11">
        <f>'VAL 2 TRIM'!AE21</f>
        <v>0</v>
      </c>
      <c r="N21" s="60">
        <f>'VAL 2 TRIM'!AG21</f>
        <v>0</v>
      </c>
      <c r="O21" s="11">
        <f>'VAL 3 TRIM'!C21</f>
        <v>0</v>
      </c>
      <c r="P21" s="11" t="str">
        <f>'VAL 3 TRIM'!O21</f>
        <v/>
      </c>
      <c r="Q21" s="11" t="str">
        <f>'VAL 3 TRIM'!AB21</f>
        <v/>
      </c>
      <c r="R21" s="11">
        <f>'VAL 3 TRIM'!AA21</f>
        <v>0</v>
      </c>
      <c r="S21" s="17">
        <f>'VAL 3 TRIM'!AE21</f>
        <v>0</v>
      </c>
      <c r="T21" s="60">
        <f>'VAL 3 TRIM'!AG21</f>
        <v>0</v>
      </c>
      <c r="U21" s="140">
        <f t="shared" si="0"/>
        <v>0</v>
      </c>
      <c r="V21" s="52" t="b">
        <f t="shared" si="1"/>
        <v>0</v>
      </c>
      <c r="W21" s="51"/>
      <c r="X21" s="51"/>
    </row>
    <row r="22" spans="1:24" ht="12" customHeight="1" x14ac:dyDescent="0.4">
      <c r="A22" s="37">
        <v>14</v>
      </c>
      <c r="B22" s="18">
        <f>'C. FILIACION'!B21</f>
        <v>0</v>
      </c>
      <c r="C22" s="17">
        <f>'VAL 1 TRIM '!C22</f>
        <v>0</v>
      </c>
      <c r="D22" s="17" t="str">
        <f>'VAL 1 TRIM '!O22</f>
        <v/>
      </c>
      <c r="E22" s="159" t="str">
        <f>'VAL 1 TRIM '!AB22</f>
        <v/>
      </c>
      <c r="F22" s="159">
        <f>'VAL 1 TRIM '!AE22</f>
        <v>0</v>
      </c>
      <c r="G22" s="17">
        <f>'VAL 1 TRIM '!AE22</f>
        <v>0</v>
      </c>
      <c r="H22" s="60">
        <f>'VAL 1 TRIM '!AG22</f>
        <v>0</v>
      </c>
      <c r="I22" s="11">
        <f>'VAL 2 TRIM'!C22</f>
        <v>0</v>
      </c>
      <c r="J22" s="11" t="str">
        <f>'VAL 2 TRIM'!O22</f>
        <v/>
      </c>
      <c r="K22" s="11" t="str">
        <f>'VAL 2 TRIM'!AB22</f>
        <v/>
      </c>
      <c r="L22" s="11">
        <f>'VAL 2 TRIM'!AA22</f>
        <v>0</v>
      </c>
      <c r="M22" s="11">
        <f>'VAL 2 TRIM'!AE22</f>
        <v>0</v>
      </c>
      <c r="N22" s="60">
        <f>'VAL 2 TRIM'!AG22</f>
        <v>0</v>
      </c>
      <c r="O22" s="11">
        <f>'VAL 3 TRIM'!C22</f>
        <v>0</v>
      </c>
      <c r="P22" s="11" t="str">
        <f>'VAL 3 TRIM'!O22</f>
        <v/>
      </c>
      <c r="Q22" s="11" t="str">
        <f>'VAL 3 TRIM'!AB22</f>
        <v/>
      </c>
      <c r="R22" s="11">
        <f>'VAL 3 TRIM'!AA22</f>
        <v>0</v>
      </c>
      <c r="S22" s="17">
        <f>'VAL 3 TRIM'!AE22</f>
        <v>0</v>
      </c>
      <c r="T22" s="60">
        <f>'VAL 3 TRIM'!AG22</f>
        <v>0</v>
      </c>
      <c r="U22" s="140">
        <f t="shared" si="0"/>
        <v>0</v>
      </c>
      <c r="V22" s="52" t="b">
        <f t="shared" si="1"/>
        <v>0</v>
      </c>
      <c r="W22" s="51"/>
      <c r="X22" s="51"/>
    </row>
    <row r="23" spans="1:24" ht="12" customHeight="1" x14ac:dyDescent="0.4">
      <c r="A23" s="37">
        <v>15</v>
      </c>
      <c r="B23" s="18">
        <f>'C. FILIACION'!B22</f>
        <v>0</v>
      </c>
      <c r="C23" s="17">
        <f>'VAL 1 TRIM '!C23</f>
        <v>0</v>
      </c>
      <c r="D23" s="17" t="str">
        <f>'VAL 1 TRIM '!O23</f>
        <v/>
      </c>
      <c r="E23" s="159" t="str">
        <f>'VAL 1 TRIM '!AB23</f>
        <v/>
      </c>
      <c r="F23" s="159">
        <f>'VAL 1 TRIM '!AE23</f>
        <v>0</v>
      </c>
      <c r="G23" s="17">
        <f>'VAL 1 TRIM '!AE23</f>
        <v>0</v>
      </c>
      <c r="H23" s="60">
        <f>'VAL 1 TRIM '!AG23</f>
        <v>0</v>
      </c>
      <c r="I23" s="11">
        <f>'VAL 2 TRIM'!C23</f>
        <v>0</v>
      </c>
      <c r="J23" s="11" t="str">
        <f>'VAL 2 TRIM'!O23</f>
        <v/>
      </c>
      <c r="K23" s="11" t="str">
        <f>'VAL 2 TRIM'!AB23</f>
        <v/>
      </c>
      <c r="L23" s="11">
        <f>'VAL 2 TRIM'!AA23</f>
        <v>0</v>
      </c>
      <c r="M23" s="11">
        <f>'VAL 2 TRIM'!AE23</f>
        <v>0</v>
      </c>
      <c r="N23" s="60">
        <f>'VAL 2 TRIM'!AG23</f>
        <v>0</v>
      </c>
      <c r="O23" s="11">
        <f>'VAL 3 TRIM'!C23</f>
        <v>0</v>
      </c>
      <c r="P23" s="11" t="str">
        <f>'VAL 3 TRIM'!O23</f>
        <v/>
      </c>
      <c r="Q23" s="11" t="str">
        <f>'VAL 3 TRIM'!AB23</f>
        <v/>
      </c>
      <c r="R23" s="11">
        <f>'VAL 3 TRIM'!AA23</f>
        <v>0</v>
      </c>
      <c r="S23" s="17">
        <f>'VAL 3 TRIM'!AE23</f>
        <v>0</v>
      </c>
      <c r="T23" s="60">
        <f>'VAL 3 TRIM'!AG23</f>
        <v>0</v>
      </c>
      <c r="U23" s="140">
        <f t="shared" si="0"/>
        <v>0</v>
      </c>
      <c r="V23" s="52" t="b">
        <f t="shared" si="1"/>
        <v>0</v>
      </c>
      <c r="W23" s="51"/>
      <c r="X23" s="51"/>
    </row>
    <row r="24" spans="1:24" ht="12" customHeight="1" x14ac:dyDescent="0.4">
      <c r="A24" s="37">
        <v>16</v>
      </c>
      <c r="B24" s="18">
        <f>'C. FILIACION'!B23</f>
        <v>0</v>
      </c>
      <c r="C24" s="17">
        <f>'VAL 1 TRIM '!C24</f>
        <v>0</v>
      </c>
      <c r="D24" s="17" t="str">
        <f>'VAL 1 TRIM '!O24</f>
        <v/>
      </c>
      <c r="E24" s="159" t="str">
        <f>'VAL 1 TRIM '!AB24</f>
        <v/>
      </c>
      <c r="F24" s="159">
        <f>'VAL 1 TRIM '!AE24</f>
        <v>0</v>
      </c>
      <c r="G24" s="17">
        <f>'VAL 1 TRIM '!AE24</f>
        <v>0</v>
      </c>
      <c r="H24" s="60">
        <f>'VAL 1 TRIM '!AG24</f>
        <v>0</v>
      </c>
      <c r="I24" s="11">
        <f>'VAL 2 TRIM'!C24</f>
        <v>0</v>
      </c>
      <c r="J24" s="11" t="str">
        <f>'VAL 2 TRIM'!O24</f>
        <v/>
      </c>
      <c r="K24" s="11" t="str">
        <f>'VAL 2 TRIM'!AB24</f>
        <v/>
      </c>
      <c r="L24" s="11">
        <f>'VAL 2 TRIM'!AA24</f>
        <v>0</v>
      </c>
      <c r="M24" s="11">
        <f>'VAL 2 TRIM'!AE24</f>
        <v>0</v>
      </c>
      <c r="N24" s="60">
        <f>'VAL 2 TRIM'!AG24</f>
        <v>0</v>
      </c>
      <c r="O24" s="11">
        <f>'VAL 3 TRIM'!C24</f>
        <v>0</v>
      </c>
      <c r="P24" s="11" t="str">
        <f>'VAL 3 TRIM'!O24</f>
        <v/>
      </c>
      <c r="Q24" s="11" t="str">
        <f>'VAL 3 TRIM'!AB24</f>
        <v/>
      </c>
      <c r="R24" s="11">
        <f>'VAL 3 TRIM'!AA24</f>
        <v>0</v>
      </c>
      <c r="S24" s="17">
        <f>'VAL 3 TRIM'!AE24</f>
        <v>0</v>
      </c>
      <c r="T24" s="60">
        <f>'VAL 3 TRIM'!AG24</f>
        <v>0</v>
      </c>
      <c r="U24" s="140">
        <f t="shared" si="0"/>
        <v>0</v>
      </c>
      <c r="V24" s="52" t="b">
        <f t="shared" si="1"/>
        <v>0</v>
      </c>
      <c r="W24" s="51"/>
      <c r="X24" s="51"/>
    </row>
    <row r="25" spans="1:24" ht="12" customHeight="1" x14ac:dyDescent="0.4">
      <c r="A25" s="37">
        <v>17</v>
      </c>
      <c r="B25" s="18">
        <f>'C. FILIACION'!B24</f>
        <v>0</v>
      </c>
      <c r="C25" s="17">
        <f>'VAL 1 TRIM '!C25</f>
        <v>0</v>
      </c>
      <c r="D25" s="17" t="str">
        <f>'VAL 1 TRIM '!O25</f>
        <v/>
      </c>
      <c r="E25" s="159" t="str">
        <f>'VAL 1 TRIM '!AB25</f>
        <v/>
      </c>
      <c r="F25" s="159">
        <f>'VAL 1 TRIM '!AE25</f>
        <v>0</v>
      </c>
      <c r="G25" s="17">
        <f>'VAL 1 TRIM '!AE25</f>
        <v>0</v>
      </c>
      <c r="H25" s="60">
        <f>'VAL 1 TRIM '!AG25</f>
        <v>0</v>
      </c>
      <c r="I25" s="11">
        <f>'VAL 2 TRIM'!C25</f>
        <v>0</v>
      </c>
      <c r="J25" s="11" t="str">
        <f>'VAL 2 TRIM'!O25</f>
        <v/>
      </c>
      <c r="K25" s="11" t="str">
        <f>'VAL 2 TRIM'!AB25</f>
        <v/>
      </c>
      <c r="L25" s="11">
        <f>'VAL 2 TRIM'!AA25</f>
        <v>0</v>
      </c>
      <c r="M25" s="11">
        <f>'VAL 2 TRIM'!AE25</f>
        <v>0</v>
      </c>
      <c r="N25" s="60">
        <f>'VAL 2 TRIM'!AG25</f>
        <v>0</v>
      </c>
      <c r="O25" s="11">
        <f>'VAL 3 TRIM'!C25</f>
        <v>0</v>
      </c>
      <c r="P25" s="11" t="str">
        <f>'VAL 3 TRIM'!O25</f>
        <v/>
      </c>
      <c r="Q25" s="11" t="str">
        <f>'VAL 3 TRIM'!AB25</f>
        <v/>
      </c>
      <c r="R25" s="11">
        <f>'VAL 3 TRIM'!AA25</f>
        <v>0</v>
      </c>
      <c r="S25" s="17">
        <f>'VAL 3 TRIM'!AE25</f>
        <v>0</v>
      </c>
      <c r="T25" s="60">
        <f>'VAL 3 TRIM'!AG25</f>
        <v>0</v>
      </c>
      <c r="U25" s="140">
        <f t="shared" si="0"/>
        <v>0</v>
      </c>
      <c r="V25" s="52" t="b">
        <f t="shared" si="1"/>
        <v>0</v>
      </c>
      <c r="W25" s="51"/>
      <c r="X25" s="51"/>
    </row>
    <row r="26" spans="1:24" ht="12" customHeight="1" x14ac:dyDescent="0.4">
      <c r="A26" s="37">
        <v>18</v>
      </c>
      <c r="B26" s="18">
        <f>'C. FILIACION'!B25</f>
        <v>0</v>
      </c>
      <c r="C26" s="17">
        <f>'VAL 1 TRIM '!C26</f>
        <v>0</v>
      </c>
      <c r="D26" s="17" t="str">
        <f>'VAL 1 TRIM '!O26</f>
        <v/>
      </c>
      <c r="E26" s="159" t="str">
        <f>'VAL 1 TRIM '!AB26</f>
        <v/>
      </c>
      <c r="F26" s="159">
        <f>'VAL 1 TRIM '!AE26</f>
        <v>0</v>
      </c>
      <c r="G26" s="17">
        <f>'VAL 1 TRIM '!AE26</f>
        <v>0</v>
      </c>
      <c r="H26" s="60">
        <f>'VAL 1 TRIM '!AG26</f>
        <v>0</v>
      </c>
      <c r="I26" s="11">
        <f>'VAL 2 TRIM'!C26</f>
        <v>0</v>
      </c>
      <c r="J26" s="11" t="str">
        <f>'VAL 2 TRIM'!O26</f>
        <v/>
      </c>
      <c r="K26" s="11" t="str">
        <f>'VAL 2 TRIM'!AB26</f>
        <v/>
      </c>
      <c r="L26" s="11">
        <f>'VAL 2 TRIM'!AA26</f>
        <v>0</v>
      </c>
      <c r="M26" s="11">
        <f>'VAL 2 TRIM'!AE26</f>
        <v>0</v>
      </c>
      <c r="N26" s="60">
        <f>'VAL 2 TRIM'!AG26</f>
        <v>0</v>
      </c>
      <c r="O26" s="11">
        <f>'VAL 3 TRIM'!C26</f>
        <v>0</v>
      </c>
      <c r="P26" s="11" t="str">
        <f>'VAL 3 TRIM'!O26</f>
        <v/>
      </c>
      <c r="Q26" s="11" t="str">
        <f>'VAL 3 TRIM'!AB26</f>
        <v/>
      </c>
      <c r="R26" s="11">
        <f>'VAL 3 TRIM'!AA26</f>
        <v>0</v>
      </c>
      <c r="S26" s="17">
        <f>'VAL 3 TRIM'!AE26</f>
        <v>0</v>
      </c>
      <c r="T26" s="60">
        <f>'VAL 3 TRIM'!AG26</f>
        <v>0</v>
      </c>
      <c r="U26" s="140">
        <f t="shared" si="0"/>
        <v>0</v>
      </c>
      <c r="V26" s="52" t="b">
        <f t="shared" si="1"/>
        <v>0</v>
      </c>
      <c r="W26" s="51"/>
      <c r="X26" s="51"/>
    </row>
    <row r="27" spans="1:24" ht="12" customHeight="1" x14ac:dyDescent="0.4">
      <c r="A27" s="37">
        <v>19</v>
      </c>
      <c r="B27" s="18">
        <f>'C. FILIACION'!B26</f>
        <v>0</v>
      </c>
      <c r="C27" s="17">
        <f>'VAL 1 TRIM '!C27</f>
        <v>0</v>
      </c>
      <c r="D27" s="17" t="str">
        <f>'VAL 1 TRIM '!O27</f>
        <v/>
      </c>
      <c r="E27" s="159" t="str">
        <f>'VAL 1 TRIM '!AB27</f>
        <v/>
      </c>
      <c r="F27" s="159">
        <f>'VAL 1 TRIM '!AE27</f>
        <v>0</v>
      </c>
      <c r="G27" s="17">
        <f>'VAL 1 TRIM '!AE27</f>
        <v>0</v>
      </c>
      <c r="H27" s="60">
        <f>'VAL 1 TRIM '!AG27</f>
        <v>0</v>
      </c>
      <c r="I27" s="11">
        <f>'VAL 2 TRIM'!C27</f>
        <v>0</v>
      </c>
      <c r="J27" s="11" t="str">
        <f>'VAL 2 TRIM'!O27</f>
        <v/>
      </c>
      <c r="K27" s="11" t="str">
        <f>'VAL 2 TRIM'!AB27</f>
        <v/>
      </c>
      <c r="L27" s="11">
        <f>'VAL 2 TRIM'!AA27</f>
        <v>0</v>
      </c>
      <c r="M27" s="11">
        <f>'VAL 2 TRIM'!AE27</f>
        <v>0</v>
      </c>
      <c r="N27" s="60">
        <f>'VAL 2 TRIM'!AG27</f>
        <v>0</v>
      </c>
      <c r="O27" s="11">
        <f>'VAL 3 TRIM'!C27</f>
        <v>0</v>
      </c>
      <c r="P27" s="11" t="str">
        <f>'VAL 3 TRIM'!O27</f>
        <v/>
      </c>
      <c r="Q27" s="11" t="str">
        <f>'VAL 3 TRIM'!AB27</f>
        <v/>
      </c>
      <c r="R27" s="11">
        <f>'VAL 3 TRIM'!AA27</f>
        <v>0</v>
      </c>
      <c r="S27" s="17">
        <f>'VAL 3 TRIM'!AE27</f>
        <v>0</v>
      </c>
      <c r="T27" s="60">
        <f>'VAL 3 TRIM'!AG27</f>
        <v>0</v>
      </c>
      <c r="U27" s="140">
        <f t="shared" si="0"/>
        <v>0</v>
      </c>
      <c r="V27" s="52" t="b">
        <f t="shared" si="1"/>
        <v>0</v>
      </c>
      <c r="W27" s="51"/>
      <c r="X27" s="51"/>
    </row>
    <row r="28" spans="1:24" ht="12" customHeight="1" x14ac:dyDescent="0.4">
      <c r="A28" s="37">
        <v>20</v>
      </c>
      <c r="B28" s="18">
        <f>'C. FILIACION'!B27</f>
        <v>0</v>
      </c>
      <c r="C28" s="17">
        <f>'VAL 1 TRIM '!C28</f>
        <v>0</v>
      </c>
      <c r="D28" s="17" t="str">
        <f>'VAL 1 TRIM '!O28</f>
        <v/>
      </c>
      <c r="E28" s="159" t="str">
        <f>'VAL 1 TRIM '!AB28</f>
        <v/>
      </c>
      <c r="F28" s="159">
        <f>'VAL 1 TRIM '!AE28</f>
        <v>0</v>
      </c>
      <c r="G28" s="17">
        <f>'VAL 1 TRIM '!AE28</f>
        <v>0</v>
      </c>
      <c r="H28" s="60">
        <f>'VAL 1 TRIM '!AG28</f>
        <v>0</v>
      </c>
      <c r="I28" s="11">
        <f>'VAL 2 TRIM'!C28</f>
        <v>0</v>
      </c>
      <c r="J28" s="11" t="str">
        <f>'VAL 2 TRIM'!O28</f>
        <v/>
      </c>
      <c r="K28" s="11" t="str">
        <f>'VAL 2 TRIM'!AB28</f>
        <v/>
      </c>
      <c r="L28" s="11">
        <f>'VAL 2 TRIM'!AA28</f>
        <v>0</v>
      </c>
      <c r="M28" s="11">
        <f>'VAL 2 TRIM'!AE28</f>
        <v>0</v>
      </c>
      <c r="N28" s="60">
        <f>'VAL 2 TRIM'!AG28</f>
        <v>0</v>
      </c>
      <c r="O28" s="11">
        <f>'VAL 3 TRIM'!C28</f>
        <v>0</v>
      </c>
      <c r="P28" s="11" t="str">
        <f>'VAL 3 TRIM'!O28</f>
        <v/>
      </c>
      <c r="Q28" s="11" t="str">
        <f>'VAL 3 TRIM'!AB28</f>
        <v/>
      </c>
      <c r="R28" s="11">
        <f>'VAL 3 TRIM'!AA28</f>
        <v>0</v>
      </c>
      <c r="S28" s="17">
        <f>'VAL 3 TRIM'!AE28</f>
        <v>0</v>
      </c>
      <c r="T28" s="60">
        <f>'VAL 3 TRIM'!AG28</f>
        <v>0</v>
      </c>
      <c r="U28" s="140">
        <f t="shared" si="0"/>
        <v>0</v>
      </c>
      <c r="V28" s="52" t="b">
        <f t="shared" si="1"/>
        <v>0</v>
      </c>
      <c r="W28" s="51"/>
      <c r="X28" s="51"/>
    </row>
    <row r="29" spans="1:24" ht="12" customHeight="1" x14ac:dyDescent="0.4">
      <c r="A29" s="37">
        <v>21</v>
      </c>
      <c r="B29" s="18">
        <f>'C. FILIACION'!B28</f>
        <v>0</v>
      </c>
      <c r="C29" s="17">
        <f>'VAL 1 TRIM '!C29</f>
        <v>0</v>
      </c>
      <c r="D29" s="17" t="str">
        <f>'VAL 1 TRIM '!O29</f>
        <v/>
      </c>
      <c r="E29" s="159" t="str">
        <f>'VAL 1 TRIM '!AB29</f>
        <v/>
      </c>
      <c r="F29" s="159">
        <f>'VAL 1 TRIM '!AE29</f>
        <v>0</v>
      </c>
      <c r="G29" s="17">
        <f>'VAL 1 TRIM '!AE29</f>
        <v>0</v>
      </c>
      <c r="H29" s="60">
        <f>'VAL 1 TRIM '!AG29</f>
        <v>0</v>
      </c>
      <c r="I29" s="11">
        <f>'VAL 2 TRIM'!C29</f>
        <v>0</v>
      </c>
      <c r="J29" s="11" t="str">
        <f>'VAL 2 TRIM'!O29</f>
        <v/>
      </c>
      <c r="K29" s="11" t="str">
        <f>'VAL 2 TRIM'!AB29</f>
        <v/>
      </c>
      <c r="L29" s="11">
        <f>'VAL 2 TRIM'!AA29</f>
        <v>0</v>
      </c>
      <c r="M29" s="11">
        <f>'VAL 2 TRIM'!AE29</f>
        <v>0</v>
      </c>
      <c r="N29" s="60">
        <f>'VAL 2 TRIM'!AG29</f>
        <v>0</v>
      </c>
      <c r="O29" s="11">
        <f>'VAL 3 TRIM'!C29</f>
        <v>0</v>
      </c>
      <c r="P29" s="11" t="str">
        <f>'VAL 3 TRIM'!O29</f>
        <v/>
      </c>
      <c r="Q29" s="11" t="str">
        <f>'VAL 3 TRIM'!AB29</f>
        <v/>
      </c>
      <c r="R29" s="11">
        <f>'VAL 3 TRIM'!AA29</f>
        <v>0</v>
      </c>
      <c r="S29" s="17">
        <f>'VAL 3 TRIM'!AE29</f>
        <v>0</v>
      </c>
      <c r="T29" s="60">
        <f>'VAL 3 TRIM'!AG29</f>
        <v>0</v>
      </c>
      <c r="U29" s="140">
        <f t="shared" si="0"/>
        <v>0</v>
      </c>
      <c r="V29" s="52" t="b">
        <f t="shared" si="1"/>
        <v>0</v>
      </c>
      <c r="W29" s="51"/>
      <c r="X29" s="51"/>
    </row>
    <row r="30" spans="1:24" ht="12" customHeight="1" x14ac:dyDescent="0.4">
      <c r="A30" s="37">
        <v>22</v>
      </c>
      <c r="B30" s="18">
        <f>'C. FILIACION'!B29</f>
        <v>0</v>
      </c>
      <c r="C30" s="17">
        <f>'VAL 1 TRIM '!C30</f>
        <v>0</v>
      </c>
      <c r="D30" s="17" t="str">
        <f>'VAL 1 TRIM '!O30</f>
        <v/>
      </c>
      <c r="E30" s="159" t="str">
        <f>'VAL 1 TRIM '!AB30</f>
        <v/>
      </c>
      <c r="F30" s="159">
        <f>'VAL 1 TRIM '!AE30</f>
        <v>0</v>
      </c>
      <c r="G30" s="17">
        <f>'VAL 1 TRIM '!AE30</f>
        <v>0</v>
      </c>
      <c r="H30" s="60">
        <f>'VAL 1 TRIM '!AG30</f>
        <v>0</v>
      </c>
      <c r="I30" s="11">
        <f>'VAL 2 TRIM'!C30</f>
        <v>0</v>
      </c>
      <c r="J30" s="11" t="str">
        <f>'VAL 2 TRIM'!O30</f>
        <v/>
      </c>
      <c r="K30" s="11" t="str">
        <f>'VAL 2 TRIM'!AB30</f>
        <v/>
      </c>
      <c r="L30" s="11">
        <f>'VAL 2 TRIM'!AA30</f>
        <v>0</v>
      </c>
      <c r="M30" s="11">
        <f>'VAL 2 TRIM'!AE30</f>
        <v>0</v>
      </c>
      <c r="N30" s="60">
        <f>'VAL 2 TRIM'!AG30</f>
        <v>0</v>
      </c>
      <c r="O30" s="11">
        <f>'VAL 3 TRIM'!C30</f>
        <v>0</v>
      </c>
      <c r="P30" s="11" t="str">
        <f>'VAL 3 TRIM'!O30</f>
        <v/>
      </c>
      <c r="Q30" s="11" t="str">
        <f>'VAL 3 TRIM'!AB30</f>
        <v/>
      </c>
      <c r="R30" s="11">
        <f>'VAL 3 TRIM'!AA30</f>
        <v>0</v>
      </c>
      <c r="S30" s="17">
        <f>'VAL 3 TRIM'!AE30</f>
        <v>0</v>
      </c>
      <c r="T30" s="60">
        <f>'VAL 3 TRIM'!AG30</f>
        <v>0</v>
      </c>
      <c r="U30" s="140">
        <f t="shared" si="0"/>
        <v>0</v>
      </c>
      <c r="V30" s="52" t="b">
        <f t="shared" si="1"/>
        <v>0</v>
      </c>
      <c r="W30" s="51"/>
      <c r="X30" s="51"/>
    </row>
    <row r="31" spans="1:24" ht="12" customHeight="1" x14ac:dyDescent="0.4">
      <c r="A31" s="37">
        <v>23</v>
      </c>
      <c r="B31" s="18">
        <f>'C. FILIACION'!B30</f>
        <v>0</v>
      </c>
      <c r="C31" s="17">
        <f>'VAL 1 TRIM '!C31</f>
        <v>0</v>
      </c>
      <c r="D31" s="17" t="str">
        <f>'VAL 1 TRIM '!O31</f>
        <v/>
      </c>
      <c r="E31" s="159" t="str">
        <f>'VAL 1 TRIM '!AB31</f>
        <v/>
      </c>
      <c r="F31" s="159">
        <f>'VAL 1 TRIM '!AE31</f>
        <v>0</v>
      </c>
      <c r="G31" s="17">
        <f>'VAL 1 TRIM '!AE31</f>
        <v>0</v>
      </c>
      <c r="H31" s="60">
        <f>'VAL 1 TRIM '!AG31</f>
        <v>0</v>
      </c>
      <c r="I31" s="11">
        <f>'VAL 2 TRIM'!C31</f>
        <v>0</v>
      </c>
      <c r="J31" s="11" t="str">
        <f>'VAL 2 TRIM'!O31</f>
        <v/>
      </c>
      <c r="K31" s="11" t="str">
        <f>'VAL 2 TRIM'!AB31</f>
        <v/>
      </c>
      <c r="L31" s="11">
        <f>'VAL 2 TRIM'!AA31</f>
        <v>0</v>
      </c>
      <c r="M31" s="11">
        <f>'VAL 2 TRIM'!AE31</f>
        <v>0</v>
      </c>
      <c r="N31" s="60">
        <f>'VAL 2 TRIM'!AG31</f>
        <v>0</v>
      </c>
      <c r="O31" s="11">
        <f>'VAL 3 TRIM'!C31</f>
        <v>0</v>
      </c>
      <c r="P31" s="11" t="str">
        <f>'VAL 3 TRIM'!O31</f>
        <v/>
      </c>
      <c r="Q31" s="11" t="str">
        <f>'VAL 3 TRIM'!AB31</f>
        <v/>
      </c>
      <c r="R31" s="11">
        <f>'VAL 3 TRIM'!AA31</f>
        <v>0</v>
      </c>
      <c r="S31" s="17">
        <f>'VAL 3 TRIM'!AE31</f>
        <v>0</v>
      </c>
      <c r="T31" s="60">
        <f>'VAL 3 TRIM'!AG31</f>
        <v>0</v>
      </c>
      <c r="U31" s="140">
        <f t="shared" si="0"/>
        <v>0</v>
      </c>
      <c r="V31" s="52" t="b">
        <f t="shared" si="1"/>
        <v>0</v>
      </c>
      <c r="W31" s="51"/>
      <c r="X31" s="51"/>
    </row>
    <row r="32" spans="1:24" ht="12" customHeight="1" x14ac:dyDescent="0.4">
      <c r="A32" s="37">
        <v>24</v>
      </c>
      <c r="B32" s="18">
        <f>'C. FILIACION'!B31</f>
        <v>0</v>
      </c>
      <c r="C32" s="17">
        <f>'VAL 1 TRIM '!C32</f>
        <v>0</v>
      </c>
      <c r="D32" s="17" t="str">
        <f>'VAL 1 TRIM '!O32</f>
        <v/>
      </c>
      <c r="E32" s="159" t="str">
        <f>'VAL 1 TRIM '!AB32</f>
        <v/>
      </c>
      <c r="F32" s="159">
        <f>'VAL 1 TRIM '!AE32</f>
        <v>0</v>
      </c>
      <c r="G32" s="17">
        <f>'VAL 1 TRIM '!AE32</f>
        <v>0</v>
      </c>
      <c r="H32" s="60">
        <f>'VAL 1 TRIM '!AG32</f>
        <v>0</v>
      </c>
      <c r="I32" s="11">
        <f>'VAL 2 TRIM'!C32</f>
        <v>0</v>
      </c>
      <c r="J32" s="11" t="str">
        <f>'VAL 2 TRIM'!O32</f>
        <v/>
      </c>
      <c r="K32" s="11" t="str">
        <f>'VAL 2 TRIM'!AB32</f>
        <v/>
      </c>
      <c r="L32" s="11">
        <f>'VAL 2 TRIM'!AA32</f>
        <v>0</v>
      </c>
      <c r="M32" s="11">
        <f>'VAL 2 TRIM'!AE32</f>
        <v>0</v>
      </c>
      <c r="N32" s="60">
        <f>'VAL 2 TRIM'!AG32</f>
        <v>0</v>
      </c>
      <c r="O32" s="11">
        <f>'VAL 3 TRIM'!C32</f>
        <v>0</v>
      </c>
      <c r="P32" s="11" t="str">
        <f>'VAL 3 TRIM'!O32</f>
        <v/>
      </c>
      <c r="Q32" s="11" t="str">
        <f>'VAL 3 TRIM'!AB32</f>
        <v/>
      </c>
      <c r="R32" s="11">
        <f>'VAL 3 TRIM'!AA32</f>
        <v>0</v>
      </c>
      <c r="S32" s="17">
        <f>'VAL 3 TRIM'!AE32</f>
        <v>0</v>
      </c>
      <c r="T32" s="60">
        <f>'VAL 3 TRIM'!AG32</f>
        <v>0</v>
      </c>
      <c r="U32" s="140">
        <f t="shared" si="0"/>
        <v>0</v>
      </c>
      <c r="V32" s="52" t="b">
        <f t="shared" si="1"/>
        <v>0</v>
      </c>
      <c r="W32" s="51"/>
      <c r="X32" s="51"/>
    </row>
    <row r="33" spans="1:24" ht="12" customHeight="1" x14ac:dyDescent="0.4">
      <c r="A33" s="37">
        <v>25</v>
      </c>
      <c r="B33" s="18">
        <f>'C. FILIACION'!B32</f>
        <v>0</v>
      </c>
      <c r="C33" s="17">
        <f>'VAL 1 TRIM '!C33</f>
        <v>0</v>
      </c>
      <c r="D33" s="17" t="str">
        <f>'VAL 1 TRIM '!O33</f>
        <v/>
      </c>
      <c r="E33" s="159" t="str">
        <f>'VAL 1 TRIM '!AB33</f>
        <v/>
      </c>
      <c r="F33" s="159">
        <f>'VAL 1 TRIM '!AE33</f>
        <v>0</v>
      </c>
      <c r="G33" s="17">
        <f>'VAL 1 TRIM '!AE33</f>
        <v>0</v>
      </c>
      <c r="H33" s="60">
        <f>'VAL 1 TRIM '!AG33</f>
        <v>0</v>
      </c>
      <c r="I33" s="11">
        <f>'VAL 2 TRIM'!C33</f>
        <v>0</v>
      </c>
      <c r="J33" s="11" t="str">
        <f>'VAL 2 TRIM'!O33</f>
        <v/>
      </c>
      <c r="K33" s="11" t="str">
        <f>'VAL 2 TRIM'!AB33</f>
        <v/>
      </c>
      <c r="L33" s="11">
        <f>'VAL 2 TRIM'!AA33</f>
        <v>0</v>
      </c>
      <c r="M33" s="11">
        <f>'VAL 2 TRIM'!AE33</f>
        <v>0</v>
      </c>
      <c r="N33" s="60">
        <f>'VAL 2 TRIM'!AG33</f>
        <v>0</v>
      </c>
      <c r="O33" s="11">
        <f>'VAL 3 TRIM'!C33</f>
        <v>0</v>
      </c>
      <c r="P33" s="11" t="str">
        <f>'VAL 3 TRIM'!O33</f>
        <v/>
      </c>
      <c r="Q33" s="11" t="str">
        <f>'VAL 3 TRIM'!AB33</f>
        <v/>
      </c>
      <c r="R33" s="11">
        <f>'VAL 3 TRIM'!AA33</f>
        <v>0</v>
      </c>
      <c r="S33" s="17">
        <f>'VAL 3 TRIM'!AE33</f>
        <v>0</v>
      </c>
      <c r="T33" s="60">
        <f>'VAL 3 TRIM'!AG33</f>
        <v>0</v>
      </c>
      <c r="U33" s="140">
        <f t="shared" si="0"/>
        <v>0</v>
      </c>
      <c r="V33" s="52" t="b">
        <f t="shared" si="1"/>
        <v>0</v>
      </c>
      <c r="W33" s="51"/>
      <c r="X33" s="51"/>
    </row>
    <row r="34" spans="1:24" ht="12" customHeight="1" x14ac:dyDescent="0.4">
      <c r="A34" s="37">
        <v>26</v>
      </c>
      <c r="B34" s="18">
        <f>'C. FILIACION'!B33</f>
        <v>0</v>
      </c>
      <c r="C34" s="17">
        <f>'VAL 1 TRIM '!C34</f>
        <v>0</v>
      </c>
      <c r="D34" s="17" t="str">
        <f>'VAL 1 TRIM '!O34</f>
        <v/>
      </c>
      <c r="E34" s="159" t="str">
        <f>'VAL 1 TRIM '!AB34</f>
        <v/>
      </c>
      <c r="F34" s="159">
        <f>'VAL 1 TRIM '!AE34</f>
        <v>0</v>
      </c>
      <c r="G34" s="17">
        <f>'VAL 1 TRIM '!AE34</f>
        <v>0</v>
      </c>
      <c r="H34" s="60">
        <f>'VAL 1 TRIM '!AG34</f>
        <v>0</v>
      </c>
      <c r="I34" s="11">
        <f>'VAL 2 TRIM'!C34</f>
        <v>0</v>
      </c>
      <c r="J34" s="11" t="str">
        <f>'VAL 2 TRIM'!O34</f>
        <v/>
      </c>
      <c r="K34" s="11" t="str">
        <f>'VAL 2 TRIM'!AB34</f>
        <v/>
      </c>
      <c r="L34" s="11">
        <f>'VAL 2 TRIM'!AA34</f>
        <v>0</v>
      </c>
      <c r="M34" s="11">
        <f>'VAL 2 TRIM'!AE34</f>
        <v>0</v>
      </c>
      <c r="N34" s="60">
        <f>'VAL 2 TRIM'!AG34</f>
        <v>0</v>
      </c>
      <c r="O34" s="11">
        <f>'VAL 3 TRIM'!C34</f>
        <v>0</v>
      </c>
      <c r="P34" s="11" t="str">
        <f>'VAL 3 TRIM'!O34</f>
        <v/>
      </c>
      <c r="Q34" s="11" t="str">
        <f>'VAL 3 TRIM'!AB34</f>
        <v/>
      </c>
      <c r="R34" s="11">
        <f>'VAL 3 TRIM'!AA34</f>
        <v>0</v>
      </c>
      <c r="S34" s="17">
        <f>'VAL 3 TRIM'!AE34</f>
        <v>0</v>
      </c>
      <c r="T34" s="60">
        <f>'VAL 3 TRIM'!AG34</f>
        <v>0</v>
      </c>
      <c r="U34" s="140">
        <f t="shared" si="0"/>
        <v>0</v>
      </c>
      <c r="V34" s="52" t="b">
        <f t="shared" si="1"/>
        <v>0</v>
      </c>
      <c r="W34" s="51"/>
      <c r="X34" s="51"/>
    </row>
    <row r="35" spans="1:24" ht="12" customHeight="1" x14ac:dyDescent="0.4">
      <c r="A35" s="37">
        <v>27</v>
      </c>
      <c r="B35" s="18">
        <f>'C. FILIACION'!B34</f>
        <v>0</v>
      </c>
      <c r="C35" s="17">
        <f>'VAL 1 TRIM '!C35</f>
        <v>0</v>
      </c>
      <c r="D35" s="17" t="str">
        <f>'VAL 1 TRIM '!O35</f>
        <v/>
      </c>
      <c r="E35" s="159" t="str">
        <f>'VAL 1 TRIM '!AB35</f>
        <v/>
      </c>
      <c r="F35" s="159">
        <f>'VAL 1 TRIM '!AE35</f>
        <v>0</v>
      </c>
      <c r="G35" s="17">
        <f>'VAL 1 TRIM '!AE35</f>
        <v>0</v>
      </c>
      <c r="H35" s="60">
        <f>'VAL 1 TRIM '!AG35</f>
        <v>0</v>
      </c>
      <c r="I35" s="11">
        <f>'VAL 2 TRIM'!C35</f>
        <v>0</v>
      </c>
      <c r="J35" s="11" t="str">
        <f>'VAL 2 TRIM'!O35</f>
        <v/>
      </c>
      <c r="K35" s="11" t="str">
        <f>'VAL 2 TRIM'!AB35</f>
        <v/>
      </c>
      <c r="L35" s="11">
        <f>'VAL 2 TRIM'!AA35</f>
        <v>0</v>
      </c>
      <c r="M35" s="11">
        <f>'VAL 2 TRIM'!AE35</f>
        <v>0</v>
      </c>
      <c r="N35" s="60">
        <f>'VAL 2 TRIM'!AG35</f>
        <v>0</v>
      </c>
      <c r="O35" s="11">
        <f>'VAL 3 TRIM'!C35</f>
        <v>0</v>
      </c>
      <c r="P35" s="11" t="str">
        <f>'VAL 3 TRIM'!O35</f>
        <v/>
      </c>
      <c r="Q35" s="11" t="str">
        <f>'VAL 3 TRIM'!AB35</f>
        <v/>
      </c>
      <c r="R35" s="11">
        <f>'VAL 3 TRIM'!AA35</f>
        <v>0</v>
      </c>
      <c r="S35" s="17">
        <f>'VAL 3 TRIM'!AE35</f>
        <v>0</v>
      </c>
      <c r="T35" s="60">
        <f>'VAL 3 TRIM'!AG35</f>
        <v>0</v>
      </c>
      <c r="U35" s="140">
        <f t="shared" si="0"/>
        <v>0</v>
      </c>
      <c r="V35" s="52" t="b">
        <f t="shared" si="1"/>
        <v>0</v>
      </c>
      <c r="W35" s="51"/>
      <c r="X35" s="51"/>
    </row>
    <row r="36" spans="1:24" ht="12" customHeight="1" x14ac:dyDescent="0.4">
      <c r="A36" s="37">
        <v>28</v>
      </c>
      <c r="B36" s="18">
        <f>'C. FILIACION'!B35</f>
        <v>0</v>
      </c>
      <c r="C36" s="17">
        <f>'VAL 1 TRIM '!C36</f>
        <v>0</v>
      </c>
      <c r="D36" s="17" t="str">
        <f>'VAL 1 TRIM '!O36</f>
        <v/>
      </c>
      <c r="E36" s="159" t="str">
        <f>'VAL 1 TRIM '!AB36</f>
        <v/>
      </c>
      <c r="F36" s="159">
        <f>'VAL 1 TRIM '!AE36</f>
        <v>0</v>
      </c>
      <c r="G36" s="17">
        <f>'VAL 1 TRIM '!AE36</f>
        <v>0</v>
      </c>
      <c r="H36" s="60">
        <f>'VAL 1 TRIM '!AG36</f>
        <v>0</v>
      </c>
      <c r="I36" s="11">
        <f>'VAL 2 TRIM'!C36</f>
        <v>0</v>
      </c>
      <c r="J36" s="11" t="str">
        <f>'VAL 2 TRIM'!O36</f>
        <v/>
      </c>
      <c r="K36" s="11" t="str">
        <f>'VAL 2 TRIM'!AB36</f>
        <v/>
      </c>
      <c r="L36" s="11">
        <f>'VAL 2 TRIM'!AA36</f>
        <v>0</v>
      </c>
      <c r="M36" s="11">
        <f>'VAL 2 TRIM'!AE36</f>
        <v>0</v>
      </c>
      <c r="N36" s="60">
        <f>'VAL 2 TRIM'!AG36</f>
        <v>0</v>
      </c>
      <c r="O36" s="11">
        <f>'VAL 3 TRIM'!C36</f>
        <v>0</v>
      </c>
      <c r="P36" s="11" t="str">
        <f>'VAL 3 TRIM'!O36</f>
        <v/>
      </c>
      <c r="Q36" s="11" t="str">
        <f>'VAL 3 TRIM'!AB36</f>
        <v/>
      </c>
      <c r="R36" s="11">
        <f>'VAL 3 TRIM'!AA36</f>
        <v>0</v>
      </c>
      <c r="S36" s="17">
        <f>'VAL 3 TRIM'!AE36</f>
        <v>0</v>
      </c>
      <c r="T36" s="60">
        <f>'VAL 3 TRIM'!AG36</f>
        <v>0</v>
      </c>
      <c r="U36" s="140">
        <f t="shared" si="0"/>
        <v>0</v>
      </c>
      <c r="V36" s="52" t="b">
        <f t="shared" si="1"/>
        <v>0</v>
      </c>
      <c r="W36" s="51"/>
      <c r="X36" s="51"/>
    </row>
    <row r="37" spans="1:24" ht="12" customHeight="1" x14ac:dyDescent="0.4">
      <c r="A37" s="37">
        <v>29</v>
      </c>
      <c r="B37" s="18">
        <f>'C. FILIACION'!B36</f>
        <v>0</v>
      </c>
      <c r="C37" s="17">
        <f>'VAL 1 TRIM '!C37</f>
        <v>0</v>
      </c>
      <c r="D37" s="17" t="str">
        <f>'VAL 1 TRIM '!O37</f>
        <v/>
      </c>
      <c r="E37" s="159" t="str">
        <f>'VAL 1 TRIM '!AB37</f>
        <v/>
      </c>
      <c r="F37" s="159">
        <f>'VAL 1 TRIM '!AE37</f>
        <v>0</v>
      </c>
      <c r="G37" s="17">
        <f>'VAL 1 TRIM '!AE37</f>
        <v>0</v>
      </c>
      <c r="H37" s="60">
        <f>'VAL 1 TRIM '!AG37</f>
        <v>0</v>
      </c>
      <c r="I37" s="11">
        <f>'VAL 2 TRIM'!C37</f>
        <v>0</v>
      </c>
      <c r="J37" s="11" t="str">
        <f>'VAL 2 TRIM'!O37</f>
        <v/>
      </c>
      <c r="K37" s="11" t="str">
        <f>'VAL 2 TRIM'!AB37</f>
        <v/>
      </c>
      <c r="L37" s="11">
        <f>'VAL 2 TRIM'!AA37</f>
        <v>0</v>
      </c>
      <c r="M37" s="11">
        <f>'VAL 2 TRIM'!AE37</f>
        <v>0</v>
      </c>
      <c r="N37" s="60">
        <f>'VAL 2 TRIM'!AG37</f>
        <v>0</v>
      </c>
      <c r="O37" s="11">
        <f>'VAL 3 TRIM'!C37</f>
        <v>0</v>
      </c>
      <c r="P37" s="11" t="str">
        <f>'VAL 3 TRIM'!O37</f>
        <v/>
      </c>
      <c r="Q37" s="11" t="str">
        <f>'VAL 3 TRIM'!AB37</f>
        <v/>
      </c>
      <c r="R37" s="11">
        <f>'VAL 3 TRIM'!AA37</f>
        <v>0</v>
      </c>
      <c r="S37" s="17">
        <f>'VAL 3 TRIM'!AE37</f>
        <v>0</v>
      </c>
      <c r="T37" s="60">
        <f>'VAL 3 TRIM'!AG37</f>
        <v>0</v>
      </c>
      <c r="U37" s="140">
        <f t="shared" si="0"/>
        <v>0</v>
      </c>
      <c r="V37" s="52" t="b">
        <f t="shared" si="1"/>
        <v>0</v>
      </c>
      <c r="W37" s="51"/>
      <c r="X37" s="51"/>
    </row>
    <row r="38" spans="1:24" ht="12" customHeight="1" x14ac:dyDescent="0.4">
      <c r="A38" s="37">
        <v>30</v>
      </c>
      <c r="B38" s="18">
        <f>'C. FILIACION'!B37</f>
        <v>0</v>
      </c>
      <c r="C38" s="17">
        <f>'VAL 1 TRIM '!C38</f>
        <v>0</v>
      </c>
      <c r="D38" s="17" t="str">
        <f>'VAL 1 TRIM '!O38</f>
        <v/>
      </c>
      <c r="E38" s="159" t="str">
        <f>'VAL 1 TRIM '!AB38</f>
        <v/>
      </c>
      <c r="F38" s="159">
        <f>'VAL 1 TRIM '!AE38</f>
        <v>0</v>
      </c>
      <c r="G38" s="17">
        <f>'VAL 1 TRIM '!AE38</f>
        <v>0</v>
      </c>
      <c r="H38" s="60">
        <f>'VAL 1 TRIM '!AG38</f>
        <v>0</v>
      </c>
      <c r="I38" s="11">
        <f>'VAL 2 TRIM'!C38</f>
        <v>0</v>
      </c>
      <c r="J38" s="11" t="str">
        <f>'VAL 2 TRIM'!O38</f>
        <v/>
      </c>
      <c r="K38" s="11" t="str">
        <f>'VAL 2 TRIM'!AB38</f>
        <v/>
      </c>
      <c r="L38" s="11">
        <f>'VAL 2 TRIM'!AA38</f>
        <v>0</v>
      </c>
      <c r="M38" s="11">
        <f>'VAL 2 TRIM'!AE38</f>
        <v>0</v>
      </c>
      <c r="N38" s="60">
        <f>'VAL 2 TRIM'!AG38</f>
        <v>0</v>
      </c>
      <c r="O38" s="11">
        <f>'VAL 3 TRIM'!C38</f>
        <v>0</v>
      </c>
      <c r="P38" s="11" t="str">
        <f>'VAL 3 TRIM'!O38</f>
        <v/>
      </c>
      <c r="Q38" s="11" t="str">
        <f>'VAL 3 TRIM'!AB38</f>
        <v/>
      </c>
      <c r="R38" s="11">
        <f>'VAL 3 TRIM'!AA38</f>
        <v>0</v>
      </c>
      <c r="S38" s="17">
        <f>'VAL 3 TRIM'!AE38</f>
        <v>0</v>
      </c>
      <c r="T38" s="60">
        <f>'VAL 3 TRIM'!AG38</f>
        <v>0</v>
      </c>
      <c r="U38" s="140">
        <f t="shared" si="0"/>
        <v>0</v>
      </c>
      <c r="V38" s="52" t="b">
        <f t="shared" si="1"/>
        <v>0</v>
      </c>
      <c r="W38" s="51"/>
      <c r="X38" s="51"/>
    </row>
    <row r="39" spans="1:24" ht="12" customHeight="1" x14ac:dyDescent="0.4">
      <c r="A39" s="37">
        <v>31</v>
      </c>
      <c r="B39" s="18">
        <f>'C. FILIACION'!B38</f>
        <v>0</v>
      </c>
      <c r="C39" s="17">
        <f>'VAL 1 TRIM '!C39</f>
        <v>0</v>
      </c>
      <c r="D39" s="17" t="str">
        <f>'VAL 1 TRIM '!O39</f>
        <v/>
      </c>
      <c r="E39" s="159" t="str">
        <f>'VAL 1 TRIM '!AB39</f>
        <v/>
      </c>
      <c r="F39" s="159">
        <f>'VAL 1 TRIM '!AE39</f>
        <v>0</v>
      </c>
      <c r="G39" s="17">
        <f>'VAL 1 TRIM '!AE39</f>
        <v>0</v>
      </c>
      <c r="H39" s="60">
        <f>'VAL 1 TRIM '!AG39</f>
        <v>0</v>
      </c>
      <c r="I39" s="11">
        <f>'VAL 2 TRIM'!C39</f>
        <v>0</v>
      </c>
      <c r="J39" s="11" t="str">
        <f>'VAL 2 TRIM'!O39</f>
        <v/>
      </c>
      <c r="K39" s="11" t="str">
        <f>'VAL 2 TRIM'!AB39</f>
        <v/>
      </c>
      <c r="L39" s="11">
        <f>'VAL 2 TRIM'!AA39</f>
        <v>0</v>
      </c>
      <c r="M39" s="11">
        <f>'VAL 2 TRIM'!AE39</f>
        <v>0</v>
      </c>
      <c r="N39" s="60">
        <f>'VAL 2 TRIM'!AG39</f>
        <v>0</v>
      </c>
      <c r="O39" s="11">
        <f>'VAL 3 TRIM'!C39</f>
        <v>0</v>
      </c>
      <c r="P39" s="11" t="str">
        <f>'VAL 3 TRIM'!O39</f>
        <v/>
      </c>
      <c r="Q39" s="11" t="str">
        <f>'VAL 3 TRIM'!AB39</f>
        <v/>
      </c>
      <c r="R39" s="11">
        <f>'VAL 3 TRIM'!AA39</f>
        <v>0</v>
      </c>
      <c r="S39" s="17">
        <f>'VAL 3 TRIM'!AE39</f>
        <v>0</v>
      </c>
      <c r="T39" s="60">
        <f>'VAL 3 TRIM'!AG39</f>
        <v>0</v>
      </c>
      <c r="U39" s="140">
        <f t="shared" si="0"/>
        <v>0</v>
      </c>
      <c r="V39" s="52" t="b">
        <f t="shared" si="1"/>
        <v>0</v>
      </c>
      <c r="W39" s="51"/>
      <c r="X39" s="51"/>
    </row>
    <row r="40" spans="1:24" ht="12" customHeight="1" x14ac:dyDescent="0.4">
      <c r="A40" s="37">
        <v>32</v>
      </c>
      <c r="B40" s="18">
        <f>'C. FILIACION'!B39</f>
        <v>0</v>
      </c>
      <c r="C40" s="17">
        <f>'VAL 1 TRIM '!C40</f>
        <v>0</v>
      </c>
      <c r="D40" s="17" t="str">
        <f>'VAL 1 TRIM '!O40</f>
        <v/>
      </c>
      <c r="E40" s="159" t="str">
        <f>'VAL 1 TRIM '!AB40</f>
        <v/>
      </c>
      <c r="F40" s="159">
        <f>'VAL 1 TRIM '!AE40</f>
        <v>0</v>
      </c>
      <c r="G40" s="17">
        <f>'VAL 1 TRIM '!AE40</f>
        <v>0</v>
      </c>
      <c r="H40" s="60">
        <f>'VAL 1 TRIM '!AG40</f>
        <v>0</v>
      </c>
      <c r="I40" s="11">
        <f>'VAL 2 TRIM'!C40</f>
        <v>0</v>
      </c>
      <c r="J40" s="11" t="str">
        <f>'VAL 2 TRIM'!O40</f>
        <v/>
      </c>
      <c r="K40" s="11" t="str">
        <f>'VAL 2 TRIM'!AB40</f>
        <v/>
      </c>
      <c r="L40" s="11">
        <f>'VAL 2 TRIM'!AA40</f>
        <v>0</v>
      </c>
      <c r="M40" s="11">
        <f>'VAL 2 TRIM'!AE40</f>
        <v>0</v>
      </c>
      <c r="N40" s="60">
        <f>'VAL 2 TRIM'!AG40</f>
        <v>0</v>
      </c>
      <c r="O40" s="11">
        <f>'VAL 3 TRIM'!C40</f>
        <v>0</v>
      </c>
      <c r="P40" s="11" t="str">
        <f>'VAL 3 TRIM'!O40</f>
        <v/>
      </c>
      <c r="Q40" s="11" t="str">
        <f>'VAL 3 TRIM'!AB40</f>
        <v/>
      </c>
      <c r="R40" s="11">
        <f>'VAL 3 TRIM'!AA40</f>
        <v>0</v>
      </c>
      <c r="S40" s="17">
        <f>'VAL 3 TRIM'!AE40</f>
        <v>0</v>
      </c>
      <c r="T40" s="60">
        <f>'VAL 3 TRIM'!AG40</f>
        <v>0</v>
      </c>
      <c r="U40" s="140">
        <f t="shared" si="0"/>
        <v>0</v>
      </c>
      <c r="V40" s="52" t="b">
        <f t="shared" si="1"/>
        <v>0</v>
      </c>
      <c r="W40" s="51"/>
      <c r="X40" s="51"/>
    </row>
    <row r="41" spans="1:24" ht="12" customHeight="1" x14ac:dyDescent="0.4">
      <c r="A41" s="37">
        <v>33</v>
      </c>
      <c r="B41" s="18">
        <f>'C. FILIACION'!B40</f>
        <v>0</v>
      </c>
      <c r="C41" s="17">
        <f>'VAL 1 TRIM '!C41</f>
        <v>0</v>
      </c>
      <c r="D41" s="17" t="str">
        <f>'VAL 1 TRIM '!O41</f>
        <v/>
      </c>
      <c r="E41" s="159" t="str">
        <f>'VAL 1 TRIM '!AB41</f>
        <v/>
      </c>
      <c r="F41" s="159">
        <f>'VAL 1 TRIM '!AE41</f>
        <v>0</v>
      </c>
      <c r="G41" s="17">
        <f>'VAL 1 TRIM '!AE41</f>
        <v>0</v>
      </c>
      <c r="H41" s="60">
        <f>'VAL 1 TRIM '!AG41</f>
        <v>0</v>
      </c>
      <c r="I41" s="11">
        <f>'VAL 2 TRIM'!C41</f>
        <v>0</v>
      </c>
      <c r="J41" s="11" t="str">
        <f>'VAL 2 TRIM'!O41</f>
        <v/>
      </c>
      <c r="K41" s="11" t="str">
        <f>'VAL 2 TRIM'!AB41</f>
        <v/>
      </c>
      <c r="L41" s="11">
        <f>'VAL 2 TRIM'!AA41</f>
        <v>0</v>
      </c>
      <c r="M41" s="11">
        <f>'VAL 2 TRIM'!AE41</f>
        <v>0</v>
      </c>
      <c r="N41" s="60">
        <f>'VAL 2 TRIM'!AG41</f>
        <v>0</v>
      </c>
      <c r="O41" s="11">
        <f>'VAL 3 TRIM'!C41</f>
        <v>0</v>
      </c>
      <c r="P41" s="11" t="str">
        <f>'VAL 3 TRIM'!O41</f>
        <v/>
      </c>
      <c r="Q41" s="11" t="str">
        <f>'VAL 3 TRIM'!AB41</f>
        <v/>
      </c>
      <c r="R41" s="11">
        <f>'VAL 3 TRIM'!AA41</f>
        <v>0</v>
      </c>
      <c r="S41" s="17">
        <f>'VAL 3 TRIM'!AE41</f>
        <v>0</v>
      </c>
      <c r="T41" s="60">
        <f>'VAL 3 TRIM'!AG41</f>
        <v>0</v>
      </c>
      <c r="U41" s="140">
        <f t="shared" si="0"/>
        <v>0</v>
      </c>
      <c r="V41" s="52" t="b">
        <f t="shared" si="1"/>
        <v>0</v>
      </c>
      <c r="W41" s="51"/>
      <c r="X41" s="51"/>
    </row>
    <row r="42" spans="1:24" ht="12" customHeight="1" x14ac:dyDescent="0.4">
      <c r="A42" s="37">
        <v>34</v>
      </c>
      <c r="B42" s="18">
        <f>'C. FILIACION'!B41</f>
        <v>0</v>
      </c>
      <c r="C42" s="17">
        <f>'VAL 1 TRIM '!C42</f>
        <v>0</v>
      </c>
      <c r="D42" s="17" t="str">
        <f>'VAL 1 TRIM '!O42</f>
        <v/>
      </c>
      <c r="E42" s="159" t="str">
        <f>'VAL 1 TRIM '!AB42</f>
        <v/>
      </c>
      <c r="F42" s="159">
        <f>'VAL 1 TRIM '!AE42</f>
        <v>0</v>
      </c>
      <c r="G42" s="17">
        <f>'VAL 1 TRIM '!AE42</f>
        <v>0</v>
      </c>
      <c r="H42" s="60">
        <f>'VAL 1 TRIM '!AG42</f>
        <v>0</v>
      </c>
      <c r="I42" s="11">
        <f>'VAL 2 TRIM'!C42</f>
        <v>0</v>
      </c>
      <c r="J42" s="11" t="str">
        <f>'VAL 2 TRIM'!O42</f>
        <v/>
      </c>
      <c r="K42" s="11" t="str">
        <f>'VAL 2 TRIM'!AB42</f>
        <v/>
      </c>
      <c r="L42" s="11">
        <f>'VAL 2 TRIM'!AA42</f>
        <v>0</v>
      </c>
      <c r="M42" s="11">
        <f>'VAL 2 TRIM'!AE42</f>
        <v>0</v>
      </c>
      <c r="N42" s="60">
        <f>'VAL 2 TRIM'!AG42</f>
        <v>0</v>
      </c>
      <c r="O42" s="11">
        <f>'VAL 3 TRIM'!C42</f>
        <v>0</v>
      </c>
      <c r="P42" s="11" t="str">
        <f>'VAL 3 TRIM'!O42</f>
        <v/>
      </c>
      <c r="Q42" s="11" t="str">
        <f>'VAL 3 TRIM'!AB42</f>
        <v/>
      </c>
      <c r="R42" s="11">
        <f>'VAL 3 TRIM'!AA42</f>
        <v>0</v>
      </c>
      <c r="S42" s="17">
        <f>'VAL 3 TRIM'!AE42</f>
        <v>0</v>
      </c>
      <c r="T42" s="60">
        <f>'VAL 3 TRIM'!AG42</f>
        <v>0</v>
      </c>
      <c r="U42" s="140">
        <f t="shared" si="0"/>
        <v>0</v>
      </c>
      <c r="V42" s="52" t="b">
        <f t="shared" si="1"/>
        <v>0</v>
      </c>
      <c r="W42" s="51"/>
      <c r="X42" s="51"/>
    </row>
    <row r="43" spans="1:24" ht="12" customHeight="1" x14ac:dyDescent="0.4">
      <c r="A43" s="37">
        <v>35</v>
      </c>
      <c r="B43" s="18">
        <f>'C. FILIACION'!B42</f>
        <v>0</v>
      </c>
      <c r="C43" s="17">
        <f>'VAL 1 TRIM '!C43</f>
        <v>0</v>
      </c>
      <c r="D43" s="17" t="str">
        <f>'VAL 1 TRIM '!O43</f>
        <v/>
      </c>
      <c r="E43" s="159" t="str">
        <f>'VAL 1 TRIM '!AB43</f>
        <v/>
      </c>
      <c r="F43" s="159">
        <f>'VAL 1 TRIM '!AE43</f>
        <v>0</v>
      </c>
      <c r="G43" s="17">
        <f>'VAL 1 TRIM '!AE43</f>
        <v>0</v>
      </c>
      <c r="H43" s="60">
        <f>'VAL 1 TRIM '!AG43</f>
        <v>0</v>
      </c>
      <c r="I43" s="11">
        <f>'VAL 2 TRIM'!C43</f>
        <v>0</v>
      </c>
      <c r="J43" s="11" t="str">
        <f>'VAL 2 TRIM'!O43</f>
        <v/>
      </c>
      <c r="K43" s="11" t="str">
        <f>'VAL 2 TRIM'!AB43</f>
        <v/>
      </c>
      <c r="L43" s="11">
        <f>'VAL 2 TRIM'!AA43</f>
        <v>0</v>
      </c>
      <c r="M43" s="11">
        <f>'VAL 2 TRIM'!AE43</f>
        <v>0</v>
      </c>
      <c r="N43" s="60">
        <f>'VAL 2 TRIM'!AG43</f>
        <v>0</v>
      </c>
      <c r="O43" s="11">
        <f>'VAL 3 TRIM'!C43</f>
        <v>0</v>
      </c>
      <c r="P43" s="11" t="str">
        <f>'VAL 3 TRIM'!O43</f>
        <v/>
      </c>
      <c r="Q43" s="11" t="str">
        <f>'VAL 3 TRIM'!AB43</f>
        <v/>
      </c>
      <c r="R43" s="11">
        <f>'VAL 3 TRIM'!AA43</f>
        <v>0</v>
      </c>
      <c r="S43" s="17">
        <f>'VAL 3 TRIM'!AE43</f>
        <v>0</v>
      </c>
      <c r="T43" s="60">
        <f>'VAL 3 TRIM'!AG43</f>
        <v>0</v>
      </c>
      <c r="U43" s="140">
        <f t="shared" si="0"/>
        <v>0</v>
      </c>
      <c r="V43" s="52" t="b">
        <f t="shared" si="1"/>
        <v>0</v>
      </c>
      <c r="W43" s="51"/>
      <c r="X43" s="51"/>
    </row>
    <row r="44" spans="1:24" ht="12" customHeight="1" x14ac:dyDescent="0.4">
      <c r="A44" s="37">
        <v>36</v>
      </c>
      <c r="B44" s="18">
        <f>'C. FILIACION'!B43</f>
        <v>0</v>
      </c>
      <c r="C44" s="17">
        <f>'VAL 1 TRIM '!C44</f>
        <v>0</v>
      </c>
      <c r="D44" s="17" t="str">
        <f>'VAL 1 TRIM '!O44</f>
        <v/>
      </c>
      <c r="E44" s="159" t="str">
        <f>'VAL 1 TRIM '!AB44</f>
        <v/>
      </c>
      <c r="F44" s="159">
        <f>'VAL 1 TRIM '!AE44</f>
        <v>0</v>
      </c>
      <c r="G44" s="17">
        <f>'VAL 1 TRIM '!AE44</f>
        <v>0</v>
      </c>
      <c r="H44" s="60">
        <f>'VAL 1 TRIM '!AG44</f>
        <v>0</v>
      </c>
      <c r="I44" s="11">
        <f>'VAL 2 TRIM'!C44</f>
        <v>0</v>
      </c>
      <c r="J44" s="11" t="str">
        <f>'VAL 2 TRIM'!O44</f>
        <v/>
      </c>
      <c r="K44" s="11" t="str">
        <f>'VAL 2 TRIM'!AB44</f>
        <v/>
      </c>
      <c r="L44" s="11">
        <f>'VAL 2 TRIM'!AA44</f>
        <v>0</v>
      </c>
      <c r="M44" s="11">
        <f>'VAL 2 TRIM'!AE44</f>
        <v>0</v>
      </c>
      <c r="N44" s="60">
        <f>'VAL 2 TRIM'!AG44</f>
        <v>0</v>
      </c>
      <c r="O44" s="11">
        <f>'VAL 3 TRIM'!C44</f>
        <v>0</v>
      </c>
      <c r="P44" s="11" t="str">
        <f>'VAL 3 TRIM'!O44</f>
        <v/>
      </c>
      <c r="Q44" s="11" t="str">
        <f>'VAL 3 TRIM'!AB44</f>
        <v/>
      </c>
      <c r="R44" s="11">
        <f>'VAL 3 TRIM'!AA44</f>
        <v>0</v>
      </c>
      <c r="S44" s="17">
        <f>'VAL 3 TRIM'!AE44</f>
        <v>0</v>
      </c>
      <c r="T44" s="60">
        <f>'VAL 3 TRIM'!AG44</f>
        <v>0</v>
      </c>
      <c r="U44" s="140">
        <f t="shared" si="0"/>
        <v>0</v>
      </c>
      <c r="V44" s="52" t="b">
        <f t="shared" si="1"/>
        <v>0</v>
      </c>
      <c r="W44" s="57"/>
      <c r="X44" s="57"/>
    </row>
  </sheetData>
  <sheetProtection algorithmName="SHA-512" hashValue="FjU8RU6BIi3ZMXIrS774E/8EPpD5gBzP/d9IfValncWX1ukPSN0gRgFm3dI4Z9ctB+bxBGplbJxeRsWw8PcD0w==" saltValue="LeFFUZW2xTufJxkkUkcRdA==" spinCount="100000" sheet="1" objects="1" scenarios="1"/>
  <mergeCells count="13">
    <mergeCell ref="V6:V8"/>
    <mergeCell ref="B2:X2"/>
    <mergeCell ref="N7:N8"/>
    <mergeCell ref="O6:T6"/>
    <mergeCell ref="O7:S7"/>
    <mergeCell ref="T7:T8"/>
    <mergeCell ref="U6:U8"/>
    <mergeCell ref="C6:H6"/>
    <mergeCell ref="I6:N6"/>
    <mergeCell ref="C7:G7"/>
    <mergeCell ref="H7:H8"/>
    <mergeCell ref="I7:M7"/>
    <mergeCell ref="U5:X5"/>
  </mergeCells>
  <pageMargins left="0.39370078740157483" right="0" top="0" bottom="0" header="0.31496062992125984" footer="0.31496062992125984"/>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Botón2_Haga_clic_en">
                <anchor>
                  <from>
                    <xdr:col>21</xdr:col>
                    <xdr:colOff>228600</xdr:colOff>
                    <xdr:row>1</xdr:row>
                    <xdr:rowOff>144780</xdr:rowOff>
                  </from>
                  <to>
                    <xdr:col>23</xdr:col>
                    <xdr:colOff>220980</xdr:colOff>
                    <xdr:row>3</xdr:row>
                    <xdr:rowOff>152400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10">
    <tabColor rgb="FF00B0F0"/>
  </sheetPr>
  <dimension ref="A1:M44"/>
  <sheetViews>
    <sheetView zoomScale="120" zoomScaleNormal="120" workbookViewId="0">
      <selection activeCell="N8" sqref="N8"/>
    </sheetView>
  </sheetViews>
  <sheetFormatPr baseColWidth="10" defaultColWidth="8.7109375" defaultRowHeight="12.9" customHeight="1" x14ac:dyDescent="0.4"/>
  <cols>
    <col min="1" max="1" width="1.640625" customWidth="1"/>
    <col min="2" max="2" width="20.640625" customWidth="1"/>
    <col min="3" max="6" width="3.640625" customWidth="1"/>
    <col min="7" max="7" width="9" customWidth="1"/>
    <col min="8" max="8" width="1.2109375" customWidth="1"/>
    <col min="9" max="11" width="3.640625" customWidth="1"/>
    <col min="12" max="14" width="4.640625" customWidth="1"/>
  </cols>
  <sheetData>
    <row r="1" spans="1:13" ht="5.0999999999999996" customHeight="1" x14ac:dyDescent="0.4"/>
    <row r="2" spans="1:13" ht="12.9" customHeight="1" x14ac:dyDescent="0.4">
      <c r="B2" s="198" t="s">
        <v>45</v>
      </c>
      <c r="C2" s="198"/>
      <c r="D2" s="198"/>
      <c r="E2" s="198"/>
      <c r="F2" s="198"/>
      <c r="G2" s="198"/>
      <c r="H2" s="198"/>
      <c r="I2" s="54"/>
      <c r="J2" s="54"/>
      <c r="K2" s="54"/>
      <c r="L2" s="54"/>
      <c r="M2" s="54"/>
    </row>
    <row r="3" spans="1:13" ht="12.9" customHeight="1" x14ac:dyDescent="0.4">
      <c r="B3" s="14" t="s">
        <v>3</v>
      </c>
      <c r="C3" s="30">
        <f>CARÁTULA!$C$15</f>
        <v>0</v>
      </c>
      <c r="D3" s="31"/>
      <c r="E3" s="20"/>
      <c r="F3" s="28"/>
      <c r="G3" s="28"/>
      <c r="H3" s="28"/>
      <c r="I3" s="28"/>
      <c r="J3" s="14" t="s">
        <v>8</v>
      </c>
      <c r="K3" s="156"/>
      <c r="L3" s="77">
        <f>CARÁTULA!$C$25</f>
        <v>0</v>
      </c>
      <c r="M3" s="156"/>
    </row>
    <row r="4" spans="1:13" ht="12.9" customHeight="1" x14ac:dyDescent="0.4">
      <c r="B4" s="14" t="s">
        <v>6</v>
      </c>
      <c r="C4" s="30">
        <f>CARÁTULA!$C$21</f>
        <v>0</v>
      </c>
      <c r="D4" s="31"/>
      <c r="E4" s="1"/>
      <c r="F4" s="30"/>
      <c r="G4" s="29"/>
      <c r="H4" s="29"/>
      <c r="I4" s="55"/>
      <c r="J4" s="158" t="s">
        <v>26</v>
      </c>
      <c r="K4" s="157"/>
      <c r="L4" s="77">
        <f>CARÁTULA!$C$19</f>
        <v>0</v>
      </c>
      <c r="M4" s="156"/>
    </row>
    <row r="5" spans="1:13" ht="12.9" customHeight="1" x14ac:dyDescent="0.4">
      <c r="B5" s="14" t="s">
        <v>17</v>
      </c>
      <c r="C5" s="30">
        <f>CARÁTULA!$C$23</f>
        <v>0</v>
      </c>
      <c r="D5" s="34"/>
      <c r="E5" s="21"/>
      <c r="F5" s="268"/>
      <c r="G5" s="268"/>
      <c r="H5" s="65"/>
      <c r="I5" s="65"/>
      <c r="J5" s="14" t="s">
        <v>19</v>
      </c>
      <c r="K5" s="156"/>
      <c r="L5" s="213">
        <f ca="1">TODAY()</f>
        <v>44596</v>
      </c>
      <c r="M5" s="267"/>
    </row>
    <row r="6" spans="1:13" ht="12.9" customHeight="1" x14ac:dyDescent="0.4">
      <c r="B6" s="14"/>
      <c r="C6" s="264" t="s">
        <v>115</v>
      </c>
      <c r="D6" s="265"/>
      <c r="E6" s="266"/>
      <c r="F6" s="263" t="s">
        <v>47</v>
      </c>
      <c r="G6" s="257" t="s">
        <v>48</v>
      </c>
      <c r="H6" s="33"/>
      <c r="I6" s="33"/>
    </row>
    <row r="7" spans="1:13" ht="12" customHeight="1" x14ac:dyDescent="0.4">
      <c r="B7" s="12"/>
      <c r="C7" s="269" t="s">
        <v>11</v>
      </c>
      <c r="D7" s="269" t="s">
        <v>116</v>
      </c>
      <c r="E7" s="270" t="s">
        <v>15</v>
      </c>
      <c r="F7" s="263"/>
      <c r="G7" s="257"/>
      <c r="H7" s="55"/>
      <c r="I7" s="55"/>
    </row>
    <row r="8" spans="1:13" ht="68.099999999999994" customHeight="1" x14ac:dyDescent="0.4">
      <c r="A8" s="16" t="s">
        <v>27</v>
      </c>
      <c r="B8" s="38" t="s">
        <v>28</v>
      </c>
      <c r="C8" s="269"/>
      <c r="D8" s="269"/>
      <c r="E8" s="270"/>
      <c r="F8" s="263"/>
      <c r="G8" s="257"/>
      <c r="H8" s="56"/>
      <c r="I8" s="56" t="s">
        <v>125</v>
      </c>
      <c r="J8" s="190" t="s">
        <v>126</v>
      </c>
      <c r="K8" s="190" t="s">
        <v>127</v>
      </c>
    </row>
    <row r="9" spans="1:13" ht="12" customHeight="1" x14ac:dyDescent="0.4">
      <c r="A9" s="37">
        <v>1</v>
      </c>
      <c r="B9" s="18">
        <f>'C. FILIACION'!B8</f>
        <v>0</v>
      </c>
      <c r="C9" s="60">
        <f>'VAL 1 TRIM '!AG9</f>
        <v>100</v>
      </c>
      <c r="D9" s="60">
        <f>'VAL 2 TRIM'!AG9</f>
        <v>100</v>
      </c>
      <c r="E9" s="60">
        <f>'VAL 3 TRIM'!AG9</f>
        <v>100</v>
      </c>
      <c r="F9" s="140">
        <f>'CENTRAL 1'!U9</f>
        <v>100</v>
      </c>
      <c r="G9" s="52" t="str">
        <f>IF(F9="","",(IF(AND(F9&gt;=1,F9&lt;=50.499),"REPROBADO",IF(AND(F9&gt;=50.5,F9&lt;=100),"APROBADO"))))</f>
        <v>APROBADO</v>
      </c>
      <c r="H9" s="51"/>
      <c r="I9" s="11">
        <f>COUNTIF(C9:C44,"&gt;=51")</f>
        <v>1</v>
      </c>
      <c r="J9" s="63">
        <f>COUNTIF(D9:D44,"&gt;=51")</f>
        <v>1</v>
      </c>
      <c r="K9" s="63">
        <f>COUNTIF(E9:E44,"&gt;=51")</f>
        <v>1</v>
      </c>
    </row>
    <row r="10" spans="1:13" ht="12" customHeight="1" x14ac:dyDescent="0.4">
      <c r="A10" s="37">
        <v>2</v>
      </c>
      <c r="B10" s="18">
        <f>'C. FILIACION'!B9</f>
        <v>0</v>
      </c>
      <c r="C10" s="60">
        <f>'VAL 1 TRIM '!AG10</f>
        <v>0</v>
      </c>
      <c r="D10" s="60">
        <f>'VAL 2 TRIM'!AG10</f>
        <v>0</v>
      </c>
      <c r="E10" s="60">
        <f>'VAL 3 TRIM'!AG10</f>
        <v>0</v>
      </c>
      <c r="F10" s="140">
        <f>'CENTRAL 1'!U10</f>
        <v>0</v>
      </c>
      <c r="G10" s="52" t="b">
        <f t="shared" ref="G10:G44" si="0">IF(F10="","",(IF(AND(F10&gt;=1,F10&lt;=50.499),"REPROBADO",IF(AND(F10&gt;=50.5,F10&lt;=100),"APROBADO"))))</f>
        <v>0</v>
      </c>
      <c r="H10" s="51"/>
      <c r="I10" s="61" t="s">
        <v>49</v>
      </c>
      <c r="J10" s="62"/>
    </row>
    <row r="11" spans="1:13" ht="12" customHeight="1" x14ac:dyDescent="0.4">
      <c r="A11" s="37">
        <v>3</v>
      </c>
      <c r="B11" s="18">
        <f>'C. FILIACION'!B10</f>
        <v>0</v>
      </c>
      <c r="C11" s="60">
        <f>'VAL 1 TRIM '!AG11</f>
        <v>0</v>
      </c>
      <c r="D11" s="60">
        <f>'VAL 2 TRIM'!AG11</f>
        <v>0</v>
      </c>
      <c r="E11" s="60">
        <f>'VAL 3 TRIM'!AG11</f>
        <v>0</v>
      </c>
      <c r="F11" s="140">
        <f>'CENTRAL 1'!U11</f>
        <v>0</v>
      </c>
      <c r="G11" s="52" t="b">
        <f t="shared" si="0"/>
        <v>0</v>
      </c>
      <c r="H11" s="51"/>
      <c r="I11" s="51"/>
    </row>
    <row r="12" spans="1:13" ht="12" customHeight="1" x14ac:dyDescent="0.4">
      <c r="A12" s="37">
        <v>4</v>
      </c>
      <c r="B12" s="18">
        <f>'C. FILIACION'!B11</f>
        <v>0</v>
      </c>
      <c r="C12" s="60">
        <f>'VAL 1 TRIM '!AG12</f>
        <v>0</v>
      </c>
      <c r="D12" s="60">
        <f>'VAL 2 TRIM'!AG12</f>
        <v>0</v>
      </c>
      <c r="E12" s="60">
        <f>'VAL 3 TRIM'!AG12</f>
        <v>0</v>
      </c>
      <c r="F12" s="140">
        <f>'CENTRAL 1'!U12</f>
        <v>0</v>
      </c>
      <c r="G12" s="52" t="b">
        <f t="shared" si="0"/>
        <v>0</v>
      </c>
      <c r="H12" s="51"/>
      <c r="I12" s="51"/>
    </row>
    <row r="13" spans="1:13" ht="12" customHeight="1" x14ac:dyDescent="0.4">
      <c r="A13" s="37">
        <v>5</v>
      </c>
      <c r="B13" s="18">
        <f>'C. FILIACION'!B12</f>
        <v>0</v>
      </c>
      <c r="C13" s="60">
        <f>'VAL 1 TRIM '!AG13</f>
        <v>0</v>
      </c>
      <c r="D13" s="60">
        <f>'VAL 2 TRIM'!AG13</f>
        <v>0</v>
      </c>
      <c r="E13" s="60">
        <f>'VAL 3 TRIM'!AG13</f>
        <v>0</v>
      </c>
      <c r="F13" s="140">
        <f>'CENTRAL 1'!U13</f>
        <v>0</v>
      </c>
      <c r="G13" s="52" t="b">
        <f t="shared" si="0"/>
        <v>0</v>
      </c>
      <c r="H13" s="51"/>
      <c r="I13" s="53">
        <f>COUNTIF(C9:C44,"&lt;=51")</f>
        <v>35</v>
      </c>
      <c r="J13" s="63">
        <f>COUNTIF(D9:D44,"&lt;=51")</f>
        <v>35</v>
      </c>
      <c r="K13" s="63">
        <f>COUNTIF(E9:E44,"&lt;=51")</f>
        <v>35</v>
      </c>
    </row>
    <row r="14" spans="1:13" ht="12" customHeight="1" x14ac:dyDescent="0.4">
      <c r="A14" s="37">
        <v>6</v>
      </c>
      <c r="B14" s="18">
        <f>'C. FILIACION'!B13</f>
        <v>0</v>
      </c>
      <c r="C14" s="60">
        <f>'VAL 1 TRIM '!AG14</f>
        <v>0</v>
      </c>
      <c r="D14" s="60">
        <f>'VAL 2 TRIM'!AG14</f>
        <v>0</v>
      </c>
      <c r="E14" s="60">
        <f>'VAL 3 TRIM'!AG14</f>
        <v>0</v>
      </c>
      <c r="F14" s="140">
        <f>'CENTRAL 1'!U14</f>
        <v>0</v>
      </c>
      <c r="G14" s="52" t="b">
        <f t="shared" si="0"/>
        <v>0</v>
      </c>
      <c r="H14" s="51"/>
      <c r="I14" s="61" t="s">
        <v>50</v>
      </c>
    </row>
    <row r="15" spans="1:13" ht="12" customHeight="1" x14ac:dyDescent="0.4">
      <c r="A15" s="37">
        <v>7</v>
      </c>
      <c r="B15" s="18">
        <f>'C. FILIACION'!B14</f>
        <v>0</v>
      </c>
      <c r="C15" s="60">
        <f>'VAL 1 TRIM '!AG15</f>
        <v>0</v>
      </c>
      <c r="D15" s="60">
        <f>'VAL 2 TRIM'!AG15</f>
        <v>0</v>
      </c>
      <c r="E15" s="60">
        <f>'VAL 3 TRIM'!AG15</f>
        <v>0</v>
      </c>
      <c r="F15" s="140">
        <f>'CENTRAL 1'!U15</f>
        <v>0</v>
      </c>
      <c r="G15" s="52" t="b">
        <f t="shared" si="0"/>
        <v>0</v>
      </c>
      <c r="H15" s="51"/>
      <c r="I15" s="51"/>
    </row>
    <row r="16" spans="1:13" ht="12" customHeight="1" x14ac:dyDescent="0.4">
      <c r="A16" s="37">
        <v>8</v>
      </c>
      <c r="B16" s="18">
        <f>'C. FILIACION'!B15</f>
        <v>0</v>
      </c>
      <c r="C16" s="60">
        <f>'VAL 1 TRIM '!AG16</f>
        <v>0</v>
      </c>
      <c r="D16" s="60">
        <f>'VAL 2 TRIM'!AG16</f>
        <v>0</v>
      </c>
      <c r="E16" s="60">
        <f>'VAL 3 TRIM'!AG16</f>
        <v>0</v>
      </c>
      <c r="F16" s="140">
        <f>'CENTRAL 1'!U16</f>
        <v>0</v>
      </c>
      <c r="G16" s="52" t="b">
        <f t="shared" si="0"/>
        <v>0</v>
      </c>
      <c r="H16" s="51"/>
      <c r="I16" s="51"/>
    </row>
    <row r="17" spans="1:9" ht="12" customHeight="1" x14ac:dyDescent="0.4">
      <c r="A17" s="37">
        <v>9</v>
      </c>
      <c r="B17" s="18">
        <f>'C. FILIACION'!B16</f>
        <v>0</v>
      </c>
      <c r="C17" s="60">
        <f>'VAL 1 TRIM '!AG17</f>
        <v>0</v>
      </c>
      <c r="D17" s="60">
        <f>'VAL 2 TRIM'!AG17</f>
        <v>0</v>
      </c>
      <c r="E17" s="60">
        <f>'VAL 3 TRIM'!AG17</f>
        <v>0</v>
      </c>
      <c r="F17" s="140">
        <f>'CENTRAL 1'!U17</f>
        <v>0</v>
      </c>
      <c r="G17" s="52" t="b">
        <f t="shared" si="0"/>
        <v>0</v>
      </c>
      <c r="H17" s="51"/>
      <c r="I17" s="51"/>
    </row>
    <row r="18" spans="1:9" ht="12" customHeight="1" x14ac:dyDescent="0.4">
      <c r="A18" s="37">
        <v>10</v>
      </c>
      <c r="B18" s="18">
        <f>'C. FILIACION'!B17</f>
        <v>0</v>
      </c>
      <c r="C18" s="60">
        <f>'VAL 1 TRIM '!AG18</f>
        <v>0</v>
      </c>
      <c r="D18" s="60">
        <f>'VAL 2 TRIM'!AG18</f>
        <v>0</v>
      </c>
      <c r="E18" s="60">
        <f>'VAL 3 TRIM'!AG18</f>
        <v>0</v>
      </c>
      <c r="F18" s="140">
        <f>'CENTRAL 1'!U18</f>
        <v>0</v>
      </c>
      <c r="G18" s="52" t="b">
        <f t="shared" si="0"/>
        <v>0</v>
      </c>
      <c r="H18" s="51"/>
      <c r="I18" s="51"/>
    </row>
    <row r="19" spans="1:9" ht="12" customHeight="1" x14ac:dyDescent="0.4">
      <c r="A19" s="37">
        <v>11</v>
      </c>
      <c r="B19" s="18">
        <f>'C. FILIACION'!B18</f>
        <v>0</v>
      </c>
      <c r="C19" s="60">
        <f>'VAL 1 TRIM '!AG19</f>
        <v>0</v>
      </c>
      <c r="D19" s="60">
        <f>'VAL 2 TRIM'!AG19</f>
        <v>0</v>
      </c>
      <c r="E19" s="60">
        <f>'VAL 3 TRIM'!AG19</f>
        <v>0</v>
      </c>
      <c r="F19" s="140">
        <f>'CENTRAL 1'!U19</f>
        <v>0</v>
      </c>
      <c r="G19" s="52" t="b">
        <f t="shared" si="0"/>
        <v>0</v>
      </c>
      <c r="H19" s="51"/>
      <c r="I19" s="51"/>
    </row>
    <row r="20" spans="1:9" ht="12" customHeight="1" x14ac:dyDescent="0.4">
      <c r="A20" s="37">
        <v>12</v>
      </c>
      <c r="B20" s="18">
        <f>'C. FILIACION'!B19</f>
        <v>0</v>
      </c>
      <c r="C20" s="60">
        <f>'VAL 1 TRIM '!AG20</f>
        <v>0</v>
      </c>
      <c r="D20" s="60">
        <f>'VAL 2 TRIM'!AG20</f>
        <v>0</v>
      </c>
      <c r="E20" s="60">
        <f>'VAL 3 TRIM'!AG20</f>
        <v>0</v>
      </c>
      <c r="F20" s="140">
        <f>'CENTRAL 1'!U20</f>
        <v>0</v>
      </c>
      <c r="G20" s="52" t="b">
        <f t="shared" si="0"/>
        <v>0</v>
      </c>
      <c r="H20" s="51"/>
      <c r="I20" s="51"/>
    </row>
    <row r="21" spans="1:9" ht="12" customHeight="1" x14ac:dyDescent="0.4">
      <c r="A21" s="37">
        <v>13</v>
      </c>
      <c r="B21" s="18">
        <f>'C. FILIACION'!B20</f>
        <v>0</v>
      </c>
      <c r="C21" s="60">
        <f>'VAL 1 TRIM '!AG21</f>
        <v>0</v>
      </c>
      <c r="D21" s="60">
        <f>'VAL 2 TRIM'!AG21</f>
        <v>0</v>
      </c>
      <c r="E21" s="60">
        <f>'VAL 3 TRIM'!AG21</f>
        <v>0</v>
      </c>
      <c r="F21" s="140">
        <f>'CENTRAL 1'!U21</f>
        <v>0</v>
      </c>
      <c r="G21" s="52" t="b">
        <f t="shared" si="0"/>
        <v>0</v>
      </c>
      <c r="H21" s="51"/>
      <c r="I21" s="51"/>
    </row>
    <row r="22" spans="1:9" ht="12" customHeight="1" x14ac:dyDescent="0.4">
      <c r="A22" s="37">
        <v>14</v>
      </c>
      <c r="B22" s="18">
        <f>'C. FILIACION'!B21</f>
        <v>0</v>
      </c>
      <c r="C22" s="60">
        <f>'VAL 1 TRIM '!AG22</f>
        <v>0</v>
      </c>
      <c r="D22" s="60">
        <f>'VAL 2 TRIM'!AG22</f>
        <v>0</v>
      </c>
      <c r="E22" s="60">
        <f>'VAL 3 TRIM'!AG22</f>
        <v>0</v>
      </c>
      <c r="F22" s="140">
        <f>'CENTRAL 1'!U22</f>
        <v>0</v>
      </c>
      <c r="G22" s="52" t="b">
        <f t="shared" si="0"/>
        <v>0</v>
      </c>
      <c r="H22" s="51"/>
      <c r="I22" s="51"/>
    </row>
    <row r="23" spans="1:9" ht="12" customHeight="1" x14ac:dyDescent="0.4">
      <c r="A23" s="37">
        <v>15</v>
      </c>
      <c r="B23" s="18">
        <f>'C. FILIACION'!B22</f>
        <v>0</v>
      </c>
      <c r="C23" s="60">
        <f>'VAL 1 TRIM '!AG23</f>
        <v>0</v>
      </c>
      <c r="D23" s="60">
        <f>'VAL 2 TRIM'!AG23</f>
        <v>0</v>
      </c>
      <c r="E23" s="60">
        <f>'VAL 3 TRIM'!AG23</f>
        <v>0</v>
      </c>
      <c r="F23" s="140">
        <f>'CENTRAL 1'!U23</f>
        <v>0</v>
      </c>
      <c r="G23" s="52" t="b">
        <f t="shared" si="0"/>
        <v>0</v>
      </c>
      <c r="H23" s="51"/>
      <c r="I23" s="51"/>
    </row>
    <row r="24" spans="1:9" ht="12" customHeight="1" x14ac:dyDescent="0.4">
      <c r="A24" s="37">
        <v>16</v>
      </c>
      <c r="B24" s="18">
        <f>'C. FILIACION'!B23</f>
        <v>0</v>
      </c>
      <c r="C24" s="60">
        <f>'VAL 1 TRIM '!AG24</f>
        <v>0</v>
      </c>
      <c r="D24" s="60">
        <f>'VAL 2 TRIM'!AG24</f>
        <v>0</v>
      </c>
      <c r="E24" s="60">
        <f>'VAL 3 TRIM'!AG24</f>
        <v>0</v>
      </c>
      <c r="F24" s="140">
        <f>'CENTRAL 1'!U24</f>
        <v>0</v>
      </c>
      <c r="G24" s="52" t="b">
        <f t="shared" si="0"/>
        <v>0</v>
      </c>
      <c r="H24" s="51"/>
      <c r="I24" s="51"/>
    </row>
    <row r="25" spans="1:9" ht="12" customHeight="1" x14ac:dyDescent="0.4">
      <c r="A25" s="37">
        <v>17</v>
      </c>
      <c r="B25" s="18">
        <f>'C. FILIACION'!B24</f>
        <v>0</v>
      </c>
      <c r="C25" s="60">
        <f>'VAL 1 TRIM '!AG25</f>
        <v>0</v>
      </c>
      <c r="D25" s="60">
        <f>'VAL 2 TRIM'!AG25</f>
        <v>0</v>
      </c>
      <c r="E25" s="60">
        <f>'VAL 3 TRIM'!AG25</f>
        <v>0</v>
      </c>
      <c r="F25" s="140">
        <f>'CENTRAL 1'!U25</f>
        <v>0</v>
      </c>
      <c r="G25" s="52" t="b">
        <f t="shared" si="0"/>
        <v>0</v>
      </c>
      <c r="H25" s="51"/>
      <c r="I25" s="51"/>
    </row>
    <row r="26" spans="1:9" ht="12" customHeight="1" x14ac:dyDescent="0.4">
      <c r="A26" s="37">
        <v>18</v>
      </c>
      <c r="B26" s="18">
        <f>'C. FILIACION'!B25</f>
        <v>0</v>
      </c>
      <c r="C26" s="60">
        <f>'VAL 1 TRIM '!AG26</f>
        <v>0</v>
      </c>
      <c r="D26" s="60">
        <f>'VAL 2 TRIM'!AG26</f>
        <v>0</v>
      </c>
      <c r="E26" s="60">
        <f>'VAL 3 TRIM'!AG26</f>
        <v>0</v>
      </c>
      <c r="F26" s="140">
        <f>'CENTRAL 1'!U26</f>
        <v>0</v>
      </c>
      <c r="G26" s="52" t="b">
        <f t="shared" si="0"/>
        <v>0</v>
      </c>
      <c r="H26" s="51"/>
      <c r="I26" s="51"/>
    </row>
    <row r="27" spans="1:9" ht="12" customHeight="1" x14ac:dyDescent="0.4">
      <c r="A27" s="37">
        <v>19</v>
      </c>
      <c r="B27" s="18">
        <f>'C. FILIACION'!B26</f>
        <v>0</v>
      </c>
      <c r="C27" s="60">
        <f>'VAL 1 TRIM '!AG27</f>
        <v>0</v>
      </c>
      <c r="D27" s="60">
        <f>'VAL 2 TRIM'!AG27</f>
        <v>0</v>
      </c>
      <c r="E27" s="60">
        <f>'VAL 3 TRIM'!AG27</f>
        <v>0</v>
      </c>
      <c r="F27" s="140">
        <f>'CENTRAL 1'!U27</f>
        <v>0</v>
      </c>
      <c r="G27" s="52" t="b">
        <f t="shared" si="0"/>
        <v>0</v>
      </c>
      <c r="H27" s="51"/>
      <c r="I27" s="51"/>
    </row>
    <row r="28" spans="1:9" ht="12" customHeight="1" x14ac:dyDescent="0.4">
      <c r="A28" s="37">
        <v>20</v>
      </c>
      <c r="B28" s="18">
        <f>'C. FILIACION'!B27</f>
        <v>0</v>
      </c>
      <c r="C28" s="60">
        <f>'VAL 1 TRIM '!AG28</f>
        <v>0</v>
      </c>
      <c r="D28" s="60">
        <f>'VAL 2 TRIM'!AG28</f>
        <v>0</v>
      </c>
      <c r="E28" s="60">
        <f>'VAL 3 TRIM'!AG28</f>
        <v>0</v>
      </c>
      <c r="F28" s="140">
        <f>'CENTRAL 1'!U28</f>
        <v>0</v>
      </c>
      <c r="G28" s="52" t="b">
        <f t="shared" si="0"/>
        <v>0</v>
      </c>
      <c r="H28" s="51"/>
      <c r="I28" s="51"/>
    </row>
    <row r="29" spans="1:9" ht="12" customHeight="1" x14ac:dyDescent="0.4">
      <c r="A29" s="37">
        <v>21</v>
      </c>
      <c r="B29" s="18">
        <f>'C. FILIACION'!B28</f>
        <v>0</v>
      </c>
      <c r="C29" s="60">
        <f>'VAL 1 TRIM '!AG29</f>
        <v>0</v>
      </c>
      <c r="D29" s="60">
        <f>'VAL 2 TRIM'!AG29</f>
        <v>0</v>
      </c>
      <c r="E29" s="60">
        <f>'VAL 3 TRIM'!AG29</f>
        <v>0</v>
      </c>
      <c r="F29" s="140">
        <f>'CENTRAL 1'!U29</f>
        <v>0</v>
      </c>
      <c r="G29" s="52" t="b">
        <f t="shared" si="0"/>
        <v>0</v>
      </c>
      <c r="H29" s="51"/>
      <c r="I29" s="51"/>
    </row>
    <row r="30" spans="1:9" ht="12" customHeight="1" x14ac:dyDescent="0.4">
      <c r="A30" s="37">
        <v>22</v>
      </c>
      <c r="B30" s="18">
        <f>'C. FILIACION'!B29</f>
        <v>0</v>
      </c>
      <c r="C30" s="60">
        <f>'VAL 1 TRIM '!AG30</f>
        <v>0</v>
      </c>
      <c r="D30" s="60">
        <f>'VAL 2 TRIM'!AG30</f>
        <v>0</v>
      </c>
      <c r="E30" s="60">
        <f>'VAL 3 TRIM'!AG30</f>
        <v>0</v>
      </c>
      <c r="F30" s="140">
        <f>'CENTRAL 1'!U30</f>
        <v>0</v>
      </c>
      <c r="G30" s="52" t="b">
        <f t="shared" si="0"/>
        <v>0</v>
      </c>
      <c r="H30" s="51"/>
      <c r="I30" s="51"/>
    </row>
    <row r="31" spans="1:9" ht="12" customHeight="1" x14ac:dyDescent="0.4">
      <c r="A31" s="37">
        <v>23</v>
      </c>
      <c r="B31" s="18">
        <f>'C. FILIACION'!B30</f>
        <v>0</v>
      </c>
      <c r="C31" s="60">
        <f>'VAL 1 TRIM '!AG31</f>
        <v>0</v>
      </c>
      <c r="D31" s="60">
        <f>'VAL 2 TRIM'!AG31</f>
        <v>0</v>
      </c>
      <c r="E31" s="60">
        <f>'VAL 3 TRIM'!AG31</f>
        <v>0</v>
      </c>
      <c r="F31" s="140">
        <f>'CENTRAL 1'!U31</f>
        <v>0</v>
      </c>
      <c r="G31" s="52" t="b">
        <f t="shared" si="0"/>
        <v>0</v>
      </c>
      <c r="H31" s="51"/>
      <c r="I31" s="51"/>
    </row>
    <row r="32" spans="1:9" ht="12" customHeight="1" x14ac:dyDescent="0.4">
      <c r="A32" s="37">
        <v>24</v>
      </c>
      <c r="B32" s="18">
        <f>'C. FILIACION'!B31</f>
        <v>0</v>
      </c>
      <c r="C32" s="60">
        <f>'VAL 1 TRIM '!AG32</f>
        <v>0</v>
      </c>
      <c r="D32" s="60">
        <f>'VAL 2 TRIM'!AG32</f>
        <v>0</v>
      </c>
      <c r="E32" s="60">
        <f>'VAL 3 TRIM'!AG32</f>
        <v>0</v>
      </c>
      <c r="F32" s="140">
        <f>'CENTRAL 1'!U32</f>
        <v>0</v>
      </c>
      <c r="G32" s="52" t="b">
        <f t="shared" si="0"/>
        <v>0</v>
      </c>
      <c r="H32" s="51"/>
      <c r="I32" s="51"/>
    </row>
    <row r="33" spans="1:9" ht="12" customHeight="1" x14ac:dyDescent="0.4">
      <c r="A33" s="37">
        <v>25</v>
      </c>
      <c r="B33" s="18">
        <f>'C. FILIACION'!B32</f>
        <v>0</v>
      </c>
      <c r="C33" s="60">
        <f>'VAL 1 TRIM '!AG33</f>
        <v>0</v>
      </c>
      <c r="D33" s="60">
        <f>'VAL 2 TRIM'!AG33</f>
        <v>0</v>
      </c>
      <c r="E33" s="60">
        <f>'VAL 3 TRIM'!AG33</f>
        <v>0</v>
      </c>
      <c r="F33" s="140">
        <f>'CENTRAL 1'!U33</f>
        <v>0</v>
      </c>
      <c r="G33" s="52" t="b">
        <f t="shared" si="0"/>
        <v>0</v>
      </c>
      <c r="H33" s="51"/>
      <c r="I33" s="51"/>
    </row>
    <row r="34" spans="1:9" ht="12" customHeight="1" x14ac:dyDescent="0.4">
      <c r="A34" s="37">
        <v>26</v>
      </c>
      <c r="B34" s="18">
        <f>'C. FILIACION'!B33</f>
        <v>0</v>
      </c>
      <c r="C34" s="60">
        <f>'VAL 1 TRIM '!AG34</f>
        <v>0</v>
      </c>
      <c r="D34" s="60">
        <f>'VAL 2 TRIM'!AG34</f>
        <v>0</v>
      </c>
      <c r="E34" s="60">
        <f>'VAL 3 TRIM'!AG34</f>
        <v>0</v>
      </c>
      <c r="F34" s="140">
        <f>'CENTRAL 1'!U34</f>
        <v>0</v>
      </c>
      <c r="G34" s="52" t="b">
        <f t="shared" si="0"/>
        <v>0</v>
      </c>
      <c r="H34" s="51"/>
      <c r="I34" s="51"/>
    </row>
    <row r="35" spans="1:9" ht="12" customHeight="1" x14ac:dyDescent="0.4">
      <c r="A35" s="37">
        <v>27</v>
      </c>
      <c r="B35" s="18">
        <f>'C. FILIACION'!B34</f>
        <v>0</v>
      </c>
      <c r="C35" s="60">
        <f>'VAL 1 TRIM '!AG35</f>
        <v>0</v>
      </c>
      <c r="D35" s="60">
        <f>'VAL 2 TRIM'!AG35</f>
        <v>0</v>
      </c>
      <c r="E35" s="60">
        <f>'VAL 3 TRIM'!AG35</f>
        <v>0</v>
      </c>
      <c r="F35" s="140">
        <f>'CENTRAL 1'!U35</f>
        <v>0</v>
      </c>
      <c r="G35" s="52" t="b">
        <f t="shared" si="0"/>
        <v>0</v>
      </c>
      <c r="H35" s="51"/>
      <c r="I35" s="51"/>
    </row>
    <row r="36" spans="1:9" ht="12" customHeight="1" x14ac:dyDescent="0.4">
      <c r="A36" s="37">
        <v>28</v>
      </c>
      <c r="B36" s="18">
        <f>'C. FILIACION'!B35</f>
        <v>0</v>
      </c>
      <c r="C36" s="60">
        <f>'VAL 1 TRIM '!AG36</f>
        <v>0</v>
      </c>
      <c r="D36" s="60">
        <f>'VAL 2 TRIM'!AG36</f>
        <v>0</v>
      </c>
      <c r="E36" s="60">
        <f>'VAL 3 TRIM'!AG36</f>
        <v>0</v>
      </c>
      <c r="F36" s="140">
        <f>'CENTRAL 1'!U36</f>
        <v>0</v>
      </c>
      <c r="G36" s="52" t="b">
        <f t="shared" si="0"/>
        <v>0</v>
      </c>
      <c r="H36" s="51"/>
      <c r="I36" s="51"/>
    </row>
    <row r="37" spans="1:9" ht="12" customHeight="1" x14ac:dyDescent="0.4">
      <c r="A37" s="37">
        <v>29</v>
      </c>
      <c r="B37" s="18">
        <f>'C. FILIACION'!B36</f>
        <v>0</v>
      </c>
      <c r="C37" s="60">
        <f>'VAL 1 TRIM '!AG37</f>
        <v>0</v>
      </c>
      <c r="D37" s="60">
        <f>'VAL 2 TRIM'!AG37</f>
        <v>0</v>
      </c>
      <c r="E37" s="60">
        <f>'VAL 3 TRIM'!AG37</f>
        <v>0</v>
      </c>
      <c r="F37" s="140">
        <f>'CENTRAL 1'!U37</f>
        <v>0</v>
      </c>
      <c r="G37" s="52" t="b">
        <f t="shared" si="0"/>
        <v>0</v>
      </c>
      <c r="H37" s="51"/>
      <c r="I37" s="51"/>
    </row>
    <row r="38" spans="1:9" ht="12" customHeight="1" x14ac:dyDescent="0.4">
      <c r="A38" s="37">
        <v>30</v>
      </c>
      <c r="B38" s="18">
        <f>'C. FILIACION'!B37</f>
        <v>0</v>
      </c>
      <c r="C38" s="60">
        <f>'VAL 1 TRIM '!AG38</f>
        <v>0</v>
      </c>
      <c r="D38" s="60">
        <f>'VAL 2 TRIM'!AG38</f>
        <v>0</v>
      </c>
      <c r="E38" s="60">
        <f>'VAL 3 TRIM'!AG38</f>
        <v>0</v>
      </c>
      <c r="F38" s="140">
        <f>'CENTRAL 1'!U38</f>
        <v>0</v>
      </c>
      <c r="G38" s="52" t="b">
        <f t="shared" si="0"/>
        <v>0</v>
      </c>
      <c r="H38" s="51"/>
      <c r="I38" s="51"/>
    </row>
    <row r="39" spans="1:9" ht="12" customHeight="1" x14ac:dyDescent="0.4">
      <c r="A39" s="37">
        <v>31</v>
      </c>
      <c r="B39" s="18">
        <f>'C. FILIACION'!B38</f>
        <v>0</v>
      </c>
      <c r="C39" s="60">
        <f>'VAL 1 TRIM '!AG39</f>
        <v>0</v>
      </c>
      <c r="D39" s="60">
        <f>'VAL 2 TRIM'!AG39</f>
        <v>0</v>
      </c>
      <c r="E39" s="60">
        <f>'VAL 3 TRIM'!AG39</f>
        <v>0</v>
      </c>
      <c r="F39" s="140">
        <f>'CENTRAL 1'!U39</f>
        <v>0</v>
      </c>
      <c r="G39" s="52" t="b">
        <f t="shared" si="0"/>
        <v>0</v>
      </c>
      <c r="H39" s="51"/>
      <c r="I39" s="51"/>
    </row>
    <row r="40" spans="1:9" ht="12" customHeight="1" x14ac:dyDescent="0.4">
      <c r="A40" s="37">
        <v>32</v>
      </c>
      <c r="B40" s="18">
        <f>'C. FILIACION'!B39</f>
        <v>0</v>
      </c>
      <c r="C40" s="60">
        <f>'VAL 1 TRIM '!AG40</f>
        <v>0</v>
      </c>
      <c r="D40" s="60">
        <f>'VAL 2 TRIM'!AG40</f>
        <v>0</v>
      </c>
      <c r="E40" s="60">
        <f>'VAL 3 TRIM'!AG40</f>
        <v>0</v>
      </c>
      <c r="F40" s="140">
        <f>'CENTRAL 1'!U40</f>
        <v>0</v>
      </c>
      <c r="G40" s="52" t="b">
        <f t="shared" si="0"/>
        <v>0</v>
      </c>
      <c r="H40" s="51"/>
      <c r="I40" s="51"/>
    </row>
    <row r="41" spans="1:9" ht="12" customHeight="1" x14ac:dyDescent="0.4">
      <c r="A41" s="37">
        <v>33</v>
      </c>
      <c r="B41" s="18">
        <f>'C. FILIACION'!B40</f>
        <v>0</v>
      </c>
      <c r="C41" s="60">
        <f>'VAL 1 TRIM '!AG41</f>
        <v>0</v>
      </c>
      <c r="D41" s="60">
        <f>'VAL 2 TRIM'!AG41</f>
        <v>0</v>
      </c>
      <c r="E41" s="60">
        <f>'VAL 3 TRIM'!AG41</f>
        <v>0</v>
      </c>
      <c r="F41" s="140">
        <f>'CENTRAL 1'!U41</f>
        <v>0</v>
      </c>
      <c r="G41" s="52" t="b">
        <f t="shared" si="0"/>
        <v>0</v>
      </c>
      <c r="H41" s="51"/>
      <c r="I41" s="51"/>
    </row>
    <row r="42" spans="1:9" ht="12" customHeight="1" x14ac:dyDescent="0.4">
      <c r="A42" s="37">
        <v>34</v>
      </c>
      <c r="B42" s="18">
        <f>'C. FILIACION'!B41</f>
        <v>0</v>
      </c>
      <c r="C42" s="60">
        <f>'VAL 1 TRIM '!AG42</f>
        <v>0</v>
      </c>
      <c r="D42" s="60">
        <f>'VAL 2 TRIM'!AG42</f>
        <v>0</v>
      </c>
      <c r="E42" s="60">
        <f>'VAL 3 TRIM'!AG42</f>
        <v>0</v>
      </c>
      <c r="F42" s="140">
        <f>'CENTRAL 1'!U42</f>
        <v>0</v>
      </c>
      <c r="G42" s="52" t="b">
        <f t="shared" si="0"/>
        <v>0</v>
      </c>
      <c r="H42" s="51"/>
      <c r="I42" s="51"/>
    </row>
    <row r="43" spans="1:9" ht="12" customHeight="1" x14ac:dyDescent="0.4">
      <c r="A43" s="37">
        <v>35</v>
      </c>
      <c r="B43" s="18">
        <f>'C. FILIACION'!B42</f>
        <v>0</v>
      </c>
      <c r="C43" s="60">
        <f>'VAL 1 TRIM '!AG43</f>
        <v>0</v>
      </c>
      <c r="D43" s="60">
        <f>'VAL 2 TRIM'!AG43</f>
        <v>0</v>
      </c>
      <c r="E43" s="60">
        <f>'VAL 3 TRIM'!AG43</f>
        <v>0</v>
      </c>
      <c r="F43" s="140">
        <f>'CENTRAL 1'!U43</f>
        <v>0</v>
      </c>
      <c r="G43" s="52" t="b">
        <f t="shared" si="0"/>
        <v>0</v>
      </c>
      <c r="H43" s="51"/>
      <c r="I43" s="51"/>
    </row>
    <row r="44" spans="1:9" ht="12" customHeight="1" x14ac:dyDescent="0.4">
      <c r="A44" s="37">
        <v>36</v>
      </c>
      <c r="B44" s="18">
        <f>'C. FILIACION'!B43</f>
        <v>0</v>
      </c>
      <c r="C44" s="60">
        <f>'VAL 1 TRIM '!AG44</f>
        <v>0</v>
      </c>
      <c r="D44" s="60">
        <f>'VAL 2 TRIM'!AG44</f>
        <v>0</v>
      </c>
      <c r="E44" s="60">
        <f>'VAL 3 TRIM'!AG44</f>
        <v>0</v>
      </c>
      <c r="F44" s="140">
        <f>'CENTRAL 1'!U44</f>
        <v>0</v>
      </c>
      <c r="G44" s="52" t="b">
        <f t="shared" si="0"/>
        <v>0</v>
      </c>
      <c r="H44" s="57"/>
      <c r="I44" s="57"/>
    </row>
  </sheetData>
  <sheetProtection algorithmName="SHA-512" hashValue="zWzrPNZ9LFmjJJ7X391U+Yb86d6olcy9KS94L3KXzdoPkmvaIgT/YK0aEBPsv08UKFEL93VWm2pygK8qlbeaPg==" saltValue="9TXoPdx2hW3F7hdszq1Egg==" spinCount="100000" sheet="1" objects="1" scenarios="1"/>
  <mergeCells count="9">
    <mergeCell ref="C6:E6"/>
    <mergeCell ref="L5:M5"/>
    <mergeCell ref="B2:H2"/>
    <mergeCell ref="F5:G5"/>
    <mergeCell ref="D7:D8"/>
    <mergeCell ref="E7:E8"/>
    <mergeCell ref="F6:F8"/>
    <mergeCell ref="G6:G8"/>
    <mergeCell ref="C7:C8"/>
  </mergeCells>
  <pageMargins left="0.19685039370078741" right="0" top="0" bottom="0" header="0.31496062992125984" footer="0.31496062992125984"/>
  <pageSetup orientation="landscape"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Botón2_Haga_clic_en">
                <anchor>
                  <from>
                    <xdr:col>13</xdr:col>
                    <xdr:colOff>22860</xdr:colOff>
                    <xdr:row>4</xdr:row>
                    <xdr:rowOff>152400</xdr:rowOff>
                  </from>
                  <to>
                    <xdr:col>14</xdr:col>
                    <xdr:colOff>571500</xdr:colOff>
                    <xdr:row>7</xdr:row>
                    <xdr:rowOff>7620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14">
    <tabColor rgb="FFFF0000"/>
  </sheetPr>
  <dimension ref="B1:J39"/>
  <sheetViews>
    <sheetView topLeftCell="A4" workbookViewId="0">
      <selection activeCell="I12" sqref="I12"/>
    </sheetView>
  </sheetViews>
  <sheetFormatPr baseColWidth="10" defaultColWidth="10.92578125" defaultRowHeight="14.4" x14ac:dyDescent="0.3"/>
  <cols>
    <col min="1" max="1" width="3.92578125" style="141" customWidth="1"/>
    <col min="2" max="2" width="6.28515625" style="141" customWidth="1"/>
    <col min="3" max="3" width="12.640625" style="141" customWidth="1"/>
    <col min="4" max="4" width="5.92578125" style="141" customWidth="1"/>
    <col min="5" max="5" width="7.5703125" style="141" customWidth="1"/>
    <col min="6" max="6" width="2.92578125" style="141" customWidth="1"/>
    <col min="7" max="7" width="14.78515625" style="141" customWidth="1"/>
    <col min="8" max="8" width="5.28515625" style="141" customWidth="1"/>
    <col min="9" max="16384" width="10.92578125" style="141"/>
  </cols>
  <sheetData>
    <row r="1" spans="2:10" ht="8.1" customHeight="1" x14ac:dyDescent="0.3"/>
    <row r="2" spans="2:10" ht="21" x14ac:dyDescent="0.3">
      <c r="B2" s="273" t="s">
        <v>97</v>
      </c>
      <c r="C2" s="273"/>
      <c r="D2" s="273"/>
      <c r="E2" s="273"/>
      <c r="F2" s="273"/>
      <c r="G2" s="273"/>
      <c r="H2" s="273"/>
      <c r="I2" s="273"/>
      <c r="J2" s="273"/>
    </row>
    <row r="3" spans="2:10" x14ac:dyDescent="0.3">
      <c r="B3" s="146" t="s">
        <v>3</v>
      </c>
      <c r="D3" s="143">
        <f>CARÁTULA!$C$15</f>
        <v>0</v>
      </c>
      <c r="H3" s="146" t="s">
        <v>8</v>
      </c>
      <c r="I3" s="143">
        <f>CARÁTULA!$C$25</f>
        <v>0</v>
      </c>
    </row>
    <row r="4" spans="2:10" x14ac:dyDescent="0.3">
      <c r="B4" s="146" t="s">
        <v>6</v>
      </c>
      <c r="D4" s="143">
        <f>CARÁTULA!$C$21</f>
        <v>0</v>
      </c>
      <c r="H4" s="152" t="s">
        <v>26</v>
      </c>
      <c r="I4" s="143">
        <f>CARÁTULA!$C$19</f>
        <v>0</v>
      </c>
    </row>
    <row r="5" spans="2:10" x14ac:dyDescent="0.3">
      <c r="B5" s="146" t="s">
        <v>17</v>
      </c>
      <c r="D5" s="143">
        <f>CARÁTULA!$C$23</f>
        <v>0</v>
      </c>
      <c r="H5" s="146" t="s">
        <v>19</v>
      </c>
      <c r="I5" s="78">
        <f ca="1">TODAY()</f>
        <v>44596</v>
      </c>
    </row>
    <row r="6" spans="2:10" x14ac:dyDescent="0.3">
      <c r="G6" s="147"/>
      <c r="H6" s="147"/>
      <c r="I6" s="148" t="s">
        <v>98</v>
      </c>
    </row>
    <row r="7" spans="2:10" x14ac:dyDescent="0.3">
      <c r="B7" s="142" t="s">
        <v>82</v>
      </c>
      <c r="C7" s="144" t="s">
        <v>88</v>
      </c>
      <c r="D7" s="142" t="s">
        <v>113</v>
      </c>
      <c r="E7" s="145" t="s">
        <v>95</v>
      </c>
      <c r="G7" s="149" t="s">
        <v>99</v>
      </c>
      <c r="H7" s="148">
        <f>'VAL 1 TRIM '!$AO$9</f>
        <v>35</v>
      </c>
      <c r="I7" s="74">
        <f>H7/H11</f>
        <v>0.97222222222222221</v>
      </c>
    </row>
    <row r="8" spans="2:10" x14ac:dyDescent="0.3">
      <c r="B8" s="142" t="s">
        <v>83</v>
      </c>
      <c r="C8" s="144" t="s">
        <v>91</v>
      </c>
      <c r="D8" s="142" t="s">
        <v>92</v>
      </c>
      <c r="E8" s="145" t="s">
        <v>96</v>
      </c>
      <c r="G8" s="149" t="s">
        <v>100</v>
      </c>
      <c r="H8" s="148">
        <f>'VAL 1 TRIM '!$AO$10</f>
        <v>0</v>
      </c>
      <c r="I8" s="74">
        <f>H8/H11</f>
        <v>0</v>
      </c>
    </row>
    <row r="9" spans="2:10" x14ac:dyDescent="0.3">
      <c r="B9" s="142" t="s">
        <v>84</v>
      </c>
      <c r="C9" s="144" t="s">
        <v>89</v>
      </c>
      <c r="D9" s="142" t="s">
        <v>93</v>
      </c>
      <c r="E9" s="145" t="s">
        <v>96</v>
      </c>
      <c r="G9" s="150" t="s">
        <v>101</v>
      </c>
      <c r="H9" s="148">
        <f>'VAL 1 TRIM '!$AO$11</f>
        <v>0</v>
      </c>
      <c r="I9" s="74">
        <f>H9/H11</f>
        <v>0</v>
      </c>
    </row>
    <row r="10" spans="2:10" x14ac:dyDescent="0.3">
      <c r="B10" s="142" t="s">
        <v>85</v>
      </c>
      <c r="C10" s="144" t="s">
        <v>90</v>
      </c>
      <c r="D10" s="142" t="s">
        <v>94</v>
      </c>
      <c r="E10" s="145" t="s">
        <v>96</v>
      </c>
      <c r="G10" s="150" t="s">
        <v>102</v>
      </c>
      <c r="H10" s="148">
        <f>'VAL 1 TRIM '!$AO$12</f>
        <v>1</v>
      </c>
      <c r="I10" s="74">
        <f>H10/H11</f>
        <v>2.7777777777777776E-2</v>
      </c>
    </row>
    <row r="11" spans="2:10" x14ac:dyDescent="0.3">
      <c r="G11" s="151" t="s">
        <v>103</v>
      </c>
      <c r="H11" s="148">
        <f>SUM(H7:H10)</f>
        <v>36</v>
      </c>
      <c r="I11" s="74">
        <f>SUM(I7:I10)</f>
        <v>1</v>
      </c>
    </row>
    <row r="13" spans="2:10" ht="18" x14ac:dyDescent="0.3">
      <c r="B13" s="272" t="s">
        <v>108</v>
      </c>
      <c r="C13" s="272"/>
      <c r="D13" s="272"/>
      <c r="E13" s="272"/>
      <c r="F13" s="272"/>
      <c r="G13" s="272"/>
      <c r="H13" s="272"/>
      <c r="I13" s="272"/>
      <c r="J13" s="272"/>
    </row>
    <row r="15" spans="2:10" ht="17.100000000000001" customHeight="1" x14ac:dyDescent="0.3">
      <c r="B15" s="271" t="s">
        <v>104</v>
      </c>
      <c r="C15" s="271"/>
      <c r="D15" s="271"/>
      <c r="E15" s="271"/>
      <c r="F15" s="271"/>
      <c r="G15" s="271"/>
      <c r="H15" s="271"/>
      <c r="I15" s="271"/>
      <c r="J15" s="271"/>
    </row>
    <row r="16" spans="2:10" ht="17.100000000000001" customHeight="1" x14ac:dyDescent="0.3">
      <c r="B16" s="271"/>
      <c r="C16" s="271"/>
      <c r="D16" s="271"/>
      <c r="E16" s="271"/>
      <c r="F16" s="271"/>
      <c r="G16" s="271"/>
      <c r="H16" s="271"/>
      <c r="I16" s="271"/>
      <c r="J16" s="271"/>
    </row>
    <row r="17" spans="2:10" ht="17.100000000000001" customHeight="1" x14ac:dyDescent="0.3">
      <c r="B17" s="271"/>
      <c r="C17" s="271"/>
      <c r="D17" s="271"/>
      <c r="E17" s="271"/>
      <c r="F17" s="271"/>
      <c r="G17" s="271"/>
      <c r="H17" s="271"/>
      <c r="I17" s="271"/>
      <c r="J17" s="271"/>
    </row>
    <row r="18" spans="2:10" ht="17.100000000000001" customHeight="1" x14ac:dyDescent="0.3">
      <c r="B18" s="271" t="s">
        <v>105</v>
      </c>
      <c r="C18" s="271"/>
      <c r="D18" s="271"/>
      <c r="E18" s="271"/>
      <c r="F18" s="271"/>
      <c r="G18" s="271"/>
      <c r="H18" s="271"/>
      <c r="I18" s="271"/>
      <c r="J18" s="271"/>
    </row>
    <row r="19" spans="2:10" ht="17.100000000000001" customHeight="1" x14ac:dyDescent="0.3">
      <c r="B19" s="271"/>
      <c r="C19" s="271"/>
      <c r="D19" s="271"/>
      <c r="E19" s="271"/>
      <c r="F19" s="271"/>
      <c r="G19" s="271"/>
      <c r="H19" s="271"/>
      <c r="I19" s="271"/>
      <c r="J19" s="271"/>
    </row>
    <row r="20" spans="2:10" ht="17.100000000000001" customHeight="1" x14ac:dyDescent="0.3">
      <c r="B20" s="271"/>
      <c r="C20" s="271"/>
      <c r="D20" s="271"/>
      <c r="E20" s="271"/>
      <c r="F20" s="271"/>
      <c r="G20" s="271"/>
      <c r="H20" s="271"/>
      <c r="I20" s="271"/>
      <c r="J20" s="271"/>
    </row>
    <row r="21" spans="2:10" ht="17.100000000000001" customHeight="1" x14ac:dyDescent="0.3">
      <c r="B21" s="271" t="s">
        <v>106</v>
      </c>
      <c r="C21" s="271"/>
      <c r="D21" s="271"/>
      <c r="E21" s="271"/>
      <c r="F21" s="271"/>
      <c r="G21" s="271"/>
      <c r="H21" s="271"/>
      <c r="I21" s="271"/>
      <c r="J21" s="271"/>
    </row>
    <row r="22" spans="2:10" ht="17.100000000000001" customHeight="1" x14ac:dyDescent="0.3">
      <c r="B22" s="271"/>
      <c r="C22" s="271"/>
      <c r="D22" s="271"/>
      <c r="E22" s="271"/>
      <c r="F22" s="271"/>
      <c r="G22" s="271"/>
      <c r="H22" s="271"/>
      <c r="I22" s="271"/>
      <c r="J22" s="271"/>
    </row>
    <row r="23" spans="2:10" ht="17.100000000000001" customHeight="1" x14ac:dyDescent="0.3">
      <c r="B23" s="271"/>
      <c r="C23" s="271"/>
      <c r="D23" s="271"/>
      <c r="E23" s="271"/>
      <c r="F23" s="271"/>
      <c r="G23" s="271"/>
      <c r="H23" s="271"/>
      <c r="I23" s="271"/>
      <c r="J23" s="271"/>
    </row>
    <row r="24" spans="2:10" ht="17.100000000000001" customHeight="1" x14ac:dyDescent="0.3">
      <c r="B24" s="271" t="s">
        <v>107</v>
      </c>
      <c r="C24" s="271"/>
      <c r="D24" s="271"/>
      <c r="E24" s="271"/>
      <c r="F24" s="271"/>
      <c r="G24" s="271"/>
      <c r="H24" s="271"/>
      <c r="I24" s="271"/>
      <c r="J24" s="271"/>
    </row>
    <row r="25" spans="2:10" ht="17.100000000000001" customHeight="1" x14ac:dyDescent="0.3">
      <c r="B25" s="271"/>
      <c r="C25" s="271"/>
      <c r="D25" s="271"/>
      <c r="E25" s="271"/>
      <c r="F25" s="271"/>
      <c r="G25" s="271"/>
      <c r="H25" s="271"/>
      <c r="I25" s="271"/>
      <c r="J25" s="271"/>
    </row>
    <row r="26" spans="2:10" ht="17.100000000000001" customHeight="1" x14ac:dyDescent="0.3">
      <c r="B26" s="271"/>
      <c r="C26" s="271"/>
      <c r="D26" s="271"/>
      <c r="E26" s="271"/>
      <c r="F26" s="271"/>
      <c r="G26" s="271"/>
      <c r="H26" s="271"/>
      <c r="I26" s="271"/>
      <c r="J26" s="271"/>
    </row>
    <row r="27" spans="2:10" ht="17.100000000000001" customHeight="1" x14ac:dyDescent="0.3">
      <c r="B27" s="271" t="s">
        <v>109</v>
      </c>
      <c r="C27" s="271"/>
      <c r="D27" s="271"/>
      <c r="E27" s="271"/>
      <c r="F27" s="271"/>
      <c r="G27" s="271"/>
      <c r="H27" s="271"/>
      <c r="I27" s="271"/>
      <c r="J27" s="271"/>
    </row>
    <row r="28" spans="2:10" ht="17.100000000000001" customHeight="1" x14ac:dyDescent="0.3">
      <c r="B28" s="271"/>
      <c r="C28" s="271"/>
      <c r="D28" s="271"/>
      <c r="E28" s="271"/>
      <c r="F28" s="271"/>
      <c r="G28" s="271"/>
      <c r="H28" s="271"/>
      <c r="I28" s="271"/>
      <c r="J28" s="271"/>
    </row>
    <row r="29" spans="2:10" ht="17.100000000000001" customHeight="1" x14ac:dyDescent="0.3">
      <c r="B29" s="271"/>
      <c r="C29" s="271"/>
      <c r="D29" s="271"/>
      <c r="E29" s="271"/>
      <c r="F29" s="271"/>
      <c r="G29" s="271"/>
      <c r="H29" s="271"/>
      <c r="I29" s="271"/>
      <c r="J29" s="271"/>
    </row>
    <row r="30" spans="2:10" x14ac:dyDescent="0.3">
      <c r="B30" s="153"/>
      <c r="C30" s="153"/>
      <c r="D30" s="153"/>
      <c r="E30" s="153"/>
      <c r="F30" s="153"/>
      <c r="G30" s="153"/>
      <c r="H30" s="153"/>
      <c r="I30" s="153"/>
      <c r="J30" s="153"/>
    </row>
    <row r="31" spans="2:10" x14ac:dyDescent="0.3">
      <c r="B31" s="154"/>
      <c r="C31" s="154"/>
      <c r="D31" s="154"/>
      <c r="E31" s="154"/>
      <c r="F31" s="154"/>
      <c r="G31" s="154"/>
      <c r="H31" s="154"/>
      <c r="I31" s="154"/>
      <c r="J31" s="154"/>
    </row>
    <row r="32" spans="2:10" x14ac:dyDescent="0.3">
      <c r="B32" s="154"/>
      <c r="C32" s="154"/>
      <c r="D32" s="154"/>
      <c r="E32" s="154"/>
      <c r="F32" s="154"/>
      <c r="G32" s="154"/>
      <c r="H32" s="154"/>
      <c r="I32" s="154"/>
      <c r="J32" s="154"/>
    </row>
    <row r="33" spans="2:10" x14ac:dyDescent="0.3">
      <c r="B33" s="154"/>
      <c r="C33" s="154">
        <f>CARÁTULA!$C$19</f>
        <v>0</v>
      </c>
      <c r="D33" s="154"/>
      <c r="E33" s="154"/>
      <c r="F33" s="154"/>
      <c r="G33" s="154"/>
      <c r="H33" s="154"/>
      <c r="I33" s="154"/>
      <c r="J33" s="154"/>
    </row>
    <row r="34" spans="2:10" x14ac:dyDescent="0.3">
      <c r="B34" s="154"/>
      <c r="C34" s="155" t="s">
        <v>110</v>
      </c>
      <c r="D34" s="154"/>
      <c r="E34" s="154"/>
      <c r="F34" s="154"/>
      <c r="G34" s="154"/>
      <c r="H34" s="154"/>
      <c r="I34" s="155" t="s">
        <v>4</v>
      </c>
      <c r="J34" s="154"/>
    </row>
    <row r="35" spans="2:10" x14ac:dyDescent="0.3">
      <c r="B35" s="154"/>
      <c r="C35" s="154"/>
      <c r="D35" s="154"/>
      <c r="E35" s="154"/>
      <c r="F35" s="154"/>
      <c r="G35" s="154"/>
      <c r="H35" s="154"/>
      <c r="I35" s="154"/>
      <c r="J35" s="154"/>
    </row>
    <row r="36" spans="2:10" x14ac:dyDescent="0.3">
      <c r="B36" s="154"/>
      <c r="C36" s="154"/>
      <c r="D36" s="154"/>
      <c r="E36" s="154"/>
      <c r="F36" s="154"/>
      <c r="G36" s="154"/>
      <c r="H36" s="154"/>
      <c r="I36" s="154"/>
      <c r="J36" s="154"/>
    </row>
    <row r="37" spans="2:10" x14ac:dyDescent="0.3">
      <c r="B37" s="154"/>
      <c r="C37" s="154"/>
      <c r="D37" s="154"/>
      <c r="E37" s="154"/>
      <c r="F37" s="154"/>
      <c r="G37" s="154"/>
      <c r="H37" s="154"/>
      <c r="I37" s="154"/>
      <c r="J37" s="154"/>
    </row>
    <row r="38" spans="2:10" x14ac:dyDescent="0.3">
      <c r="B38" s="154"/>
      <c r="C38" s="154"/>
      <c r="D38" s="154"/>
      <c r="E38" s="154"/>
      <c r="F38" s="154"/>
      <c r="G38" s="154"/>
      <c r="H38" s="154"/>
      <c r="I38" s="154"/>
      <c r="J38" s="154"/>
    </row>
    <row r="39" spans="2:10" x14ac:dyDescent="0.3">
      <c r="B39" s="153"/>
      <c r="C39" s="153"/>
      <c r="D39" s="153"/>
      <c r="E39" s="153"/>
      <c r="F39" s="153"/>
      <c r="G39" s="153"/>
      <c r="H39" s="153"/>
      <c r="I39" s="153"/>
      <c r="J39" s="153"/>
    </row>
  </sheetData>
  <sheetProtection algorithmName="SHA-512" hashValue="plYKj6NuGTFrrRZQFYIU7mu7geRukNlJLM8M4tqLF7NynOJ3vdlhWVucj6pGWiO25XOZZxsmFflw+blvIzrpMQ==" saltValue="tuuwI414n5487AU5nUOzzA==" spinCount="100000" sheet="1" objects="1" scenarios="1"/>
  <mergeCells count="7">
    <mergeCell ref="B27:J29"/>
    <mergeCell ref="B13:J13"/>
    <mergeCell ref="B2:J2"/>
    <mergeCell ref="B15:J17"/>
    <mergeCell ref="B18:J20"/>
    <mergeCell ref="B21:J23"/>
    <mergeCell ref="B24:J26"/>
  </mergeCells>
  <pageMargins left="0" right="0" top="0" bottom="0" header="0.31496062992125984" footer="0.31496062992125984"/>
  <pageSetup orientation="landscape"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4338" r:id="rId4" name="Button 2">
              <controlPr defaultSize="0" print="0" autoFill="0" autoPict="0" macro="[0]!Botón2_Haga_clic_en">
                <anchor>
                  <from>
                    <xdr:col>9</xdr:col>
                    <xdr:colOff>716280</xdr:colOff>
                    <xdr:row>2</xdr:row>
                    <xdr:rowOff>0</xdr:rowOff>
                  </from>
                  <to>
                    <xdr:col>10</xdr:col>
                    <xdr:colOff>1036320</xdr:colOff>
                    <xdr:row>3</xdr:row>
                    <xdr:rowOff>144780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15">
    <tabColor rgb="FFFF0000"/>
  </sheetPr>
  <dimension ref="B1:J39"/>
  <sheetViews>
    <sheetView topLeftCell="A4" workbookViewId="0">
      <selection activeCell="B21" sqref="B21:J23"/>
    </sheetView>
  </sheetViews>
  <sheetFormatPr baseColWidth="10" defaultColWidth="10.92578125" defaultRowHeight="14.4" x14ac:dyDescent="0.3"/>
  <cols>
    <col min="1" max="1" width="3.92578125" style="141" customWidth="1"/>
    <col min="2" max="2" width="6.28515625" style="141" customWidth="1"/>
    <col min="3" max="3" width="12.640625" style="141" customWidth="1"/>
    <col min="4" max="4" width="5.92578125" style="141" customWidth="1"/>
    <col min="5" max="5" width="7.5703125" style="141" customWidth="1"/>
    <col min="6" max="6" width="2.92578125" style="141" customWidth="1"/>
    <col min="7" max="7" width="14.78515625" style="141" customWidth="1"/>
    <col min="8" max="8" width="5.28515625" style="141" customWidth="1"/>
    <col min="9" max="16384" width="10.92578125" style="141"/>
  </cols>
  <sheetData>
    <row r="1" spans="2:10" ht="8.1" customHeight="1" x14ac:dyDescent="0.3"/>
    <row r="2" spans="2:10" ht="21" x14ac:dyDescent="0.3">
      <c r="B2" s="273" t="s">
        <v>111</v>
      </c>
      <c r="C2" s="273"/>
      <c r="D2" s="273"/>
      <c r="E2" s="273"/>
      <c r="F2" s="273"/>
      <c r="G2" s="273"/>
      <c r="H2" s="273"/>
      <c r="I2" s="273"/>
      <c r="J2" s="273"/>
    </row>
    <row r="3" spans="2:10" x14ac:dyDescent="0.3">
      <c r="B3" s="146" t="s">
        <v>3</v>
      </c>
      <c r="D3" s="143">
        <f>CARÁTULA!$C$15</f>
        <v>0</v>
      </c>
      <c r="H3" s="146" t="s">
        <v>8</v>
      </c>
      <c r="I3" s="143">
        <f>CARÁTULA!$C$25</f>
        <v>0</v>
      </c>
    </row>
    <row r="4" spans="2:10" x14ac:dyDescent="0.3">
      <c r="B4" s="146" t="s">
        <v>6</v>
      </c>
      <c r="D4" s="143">
        <f>CARÁTULA!$C$21</f>
        <v>0</v>
      </c>
      <c r="H4" s="152" t="s">
        <v>26</v>
      </c>
      <c r="I4" s="143">
        <f>CARÁTULA!$C$19</f>
        <v>0</v>
      </c>
    </row>
    <row r="5" spans="2:10" x14ac:dyDescent="0.3">
      <c r="B5" s="146" t="s">
        <v>17</v>
      </c>
      <c r="D5" s="143">
        <f>CARÁTULA!$C$23</f>
        <v>0</v>
      </c>
      <c r="H5" s="146" t="s">
        <v>19</v>
      </c>
      <c r="I5" s="78">
        <f ca="1">TODAY()</f>
        <v>44596</v>
      </c>
    </row>
    <row r="6" spans="2:10" x14ac:dyDescent="0.3">
      <c r="G6" s="147"/>
      <c r="H6" s="147"/>
      <c r="I6" s="148" t="s">
        <v>98</v>
      </c>
    </row>
    <row r="7" spans="2:10" x14ac:dyDescent="0.3">
      <c r="B7" s="142" t="s">
        <v>82</v>
      </c>
      <c r="C7" s="144" t="s">
        <v>88</v>
      </c>
      <c r="D7" s="142" t="s">
        <v>113</v>
      </c>
      <c r="E7" s="145" t="s">
        <v>95</v>
      </c>
      <c r="G7" s="149" t="s">
        <v>99</v>
      </c>
      <c r="H7" s="148">
        <f>'VAL 2 TRIM'!$AO$9</f>
        <v>35</v>
      </c>
      <c r="I7" s="74">
        <f>H7/H11</f>
        <v>0.97222222222222221</v>
      </c>
    </row>
    <row r="8" spans="2:10" x14ac:dyDescent="0.3">
      <c r="B8" s="142" t="s">
        <v>83</v>
      </c>
      <c r="C8" s="144" t="s">
        <v>91</v>
      </c>
      <c r="D8" s="142" t="s">
        <v>92</v>
      </c>
      <c r="E8" s="145" t="s">
        <v>96</v>
      </c>
      <c r="G8" s="149" t="s">
        <v>100</v>
      </c>
      <c r="H8" s="148">
        <f>'VAL 2 TRIM'!$AO$10</f>
        <v>0</v>
      </c>
      <c r="I8" s="74">
        <f>H8/H11</f>
        <v>0</v>
      </c>
    </row>
    <row r="9" spans="2:10" x14ac:dyDescent="0.3">
      <c r="B9" s="142" t="s">
        <v>84</v>
      </c>
      <c r="C9" s="144" t="s">
        <v>89</v>
      </c>
      <c r="D9" s="142" t="s">
        <v>93</v>
      </c>
      <c r="E9" s="145" t="s">
        <v>96</v>
      </c>
      <c r="G9" s="150" t="s">
        <v>101</v>
      </c>
      <c r="H9" s="148">
        <f>'VAL 2 TRIM'!$AO$11</f>
        <v>0</v>
      </c>
      <c r="I9" s="189">
        <f>H9/H11</f>
        <v>0</v>
      </c>
    </row>
    <row r="10" spans="2:10" x14ac:dyDescent="0.3">
      <c r="B10" s="142" t="s">
        <v>85</v>
      </c>
      <c r="C10" s="144" t="s">
        <v>90</v>
      </c>
      <c r="D10" s="142" t="s">
        <v>94</v>
      </c>
      <c r="E10" s="145" t="s">
        <v>96</v>
      </c>
      <c r="G10" s="150" t="s">
        <v>102</v>
      </c>
      <c r="H10" s="148">
        <f>'VAL 2 TRIM'!$AO$12</f>
        <v>1</v>
      </c>
      <c r="I10" s="74">
        <f>H10/H11</f>
        <v>2.7777777777777776E-2</v>
      </c>
    </row>
    <row r="11" spans="2:10" x14ac:dyDescent="0.3">
      <c r="G11" s="151" t="s">
        <v>103</v>
      </c>
      <c r="H11" s="148">
        <f>SUM(H7:H10)</f>
        <v>36</v>
      </c>
      <c r="I11" s="74">
        <f>SUM(I7:I10)</f>
        <v>1</v>
      </c>
    </row>
    <row r="13" spans="2:10" ht="18" x14ac:dyDescent="0.3">
      <c r="B13" s="272" t="s">
        <v>108</v>
      </c>
      <c r="C13" s="272"/>
      <c r="D13" s="272"/>
      <c r="E13" s="272"/>
      <c r="F13" s="272"/>
      <c r="G13" s="272"/>
      <c r="H13" s="272"/>
      <c r="I13" s="272"/>
      <c r="J13" s="272"/>
    </row>
    <row r="15" spans="2:10" ht="17.100000000000001" customHeight="1" x14ac:dyDescent="0.3">
      <c r="B15" s="271" t="s">
        <v>104</v>
      </c>
      <c r="C15" s="271"/>
      <c r="D15" s="271"/>
      <c r="E15" s="271"/>
      <c r="F15" s="271"/>
      <c r="G15" s="271"/>
      <c r="H15" s="271"/>
      <c r="I15" s="271"/>
      <c r="J15" s="271"/>
    </row>
    <row r="16" spans="2:10" ht="17.100000000000001" customHeight="1" x14ac:dyDescent="0.3">
      <c r="B16" s="271"/>
      <c r="C16" s="271"/>
      <c r="D16" s="271"/>
      <c r="E16" s="271"/>
      <c r="F16" s="271"/>
      <c r="G16" s="271"/>
      <c r="H16" s="271"/>
      <c r="I16" s="271"/>
      <c r="J16" s="271"/>
    </row>
    <row r="17" spans="2:10" ht="17.100000000000001" customHeight="1" x14ac:dyDescent="0.3">
      <c r="B17" s="271"/>
      <c r="C17" s="271"/>
      <c r="D17" s="271"/>
      <c r="E17" s="271"/>
      <c r="F17" s="271"/>
      <c r="G17" s="271"/>
      <c r="H17" s="271"/>
      <c r="I17" s="271"/>
      <c r="J17" s="271"/>
    </row>
    <row r="18" spans="2:10" ht="17.100000000000001" customHeight="1" x14ac:dyDescent="0.3">
      <c r="B18" s="274" t="s">
        <v>105</v>
      </c>
      <c r="C18" s="271"/>
      <c r="D18" s="271"/>
      <c r="E18" s="271"/>
      <c r="F18" s="271"/>
      <c r="G18" s="271"/>
      <c r="H18" s="271"/>
      <c r="I18" s="271"/>
      <c r="J18" s="271"/>
    </row>
    <row r="19" spans="2:10" ht="17.100000000000001" customHeight="1" x14ac:dyDescent="0.3">
      <c r="B19" s="271"/>
      <c r="C19" s="271"/>
      <c r="D19" s="271"/>
      <c r="E19" s="271"/>
      <c r="F19" s="271"/>
      <c r="G19" s="271"/>
      <c r="H19" s="271"/>
      <c r="I19" s="271"/>
      <c r="J19" s="271"/>
    </row>
    <row r="20" spans="2:10" ht="17.100000000000001" customHeight="1" x14ac:dyDescent="0.3">
      <c r="B20" s="271"/>
      <c r="C20" s="271"/>
      <c r="D20" s="271"/>
      <c r="E20" s="271"/>
      <c r="F20" s="271"/>
      <c r="G20" s="271"/>
      <c r="H20" s="271"/>
      <c r="I20" s="271"/>
      <c r="J20" s="271"/>
    </row>
    <row r="21" spans="2:10" ht="17.100000000000001" customHeight="1" x14ac:dyDescent="0.3">
      <c r="B21" s="271" t="s">
        <v>106</v>
      </c>
      <c r="C21" s="271"/>
      <c r="D21" s="271"/>
      <c r="E21" s="271"/>
      <c r="F21" s="271"/>
      <c r="G21" s="271"/>
      <c r="H21" s="271"/>
      <c r="I21" s="271"/>
      <c r="J21" s="271"/>
    </row>
    <row r="22" spans="2:10" ht="17.100000000000001" customHeight="1" x14ac:dyDescent="0.3">
      <c r="B22" s="271"/>
      <c r="C22" s="271"/>
      <c r="D22" s="271"/>
      <c r="E22" s="271"/>
      <c r="F22" s="271"/>
      <c r="G22" s="271"/>
      <c r="H22" s="271"/>
      <c r="I22" s="271"/>
      <c r="J22" s="271"/>
    </row>
    <row r="23" spans="2:10" ht="17.100000000000001" customHeight="1" x14ac:dyDescent="0.3">
      <c r="B23" s="271"/>
      <c r="C23" s="271"/>
      <c r="D23" s="271"/>
      <c r="E23" s="271"/>
      <c r="F23" s="271"/>
      <c r="G23" s="271"/>
      <c r="H23" s="271"/>
      <c r="I23" s="271"/>
      <c r="J23" s="271"/>
    </row>
    <row r="24" spans="2:10" ht="17.100000000000001" customHeight="1" x14ac:dyDescent="0.3">
      <c r="B24" s="271" t="s">
        <v>107</v>
      </c>
      <c r="C24" s="271"/>
      <c r="D24" s="271"/>
      <c r="E24" s="271"/>
      <c r="F24" s="271"/>
      <c r="G24" s="271"/>
      <c r="H24" s="271"/>
      <c r="I24" s="271"/>
      <c r="J24" s="271"/>
    </row>
    <row r="25" spans="2:10" ht="17.100000000000001" customHeight="1" x14ac:dyDescent="0.3">
      <c r="B25" s="271"/>
      <c r="C25" s="271"/>
      <c r="D25" s="271"/>
      <c r="E25" s="271"/>
      <c r="F25" s="271"/>
      <c r="G25" s="271"/>
      <c r="H25" s="271"/>
      <c r="I25" s="271"/>
      <c r="J25" s="271"/>
    </row>
    <row r="26" spans="2:10" ht="17.100000000000001" customHeight="1" x14ac:dyDescent="0.3">
      <c r="B26" s="271"/>
      <c r="C26" s="271"/>
      <c r="D26" s="271"/>
      <c r="E26" s="271"/>
      <c r="F26" s="271"/>
      <c r="G26" s="271"/>
      <c r="H26" s="271"/>
      <c r="I26" s="271"/>
      <c r="J26" s="271"/>
    </row>
    <row r="27" spans="2:10" ht="17.100000000000001" customHeight="1" x14ac:dyDescent="0.3">
      <c r="B27" s="271" t="s">
        <v>109</v>
      </c>
      <c r="C27" s="271"/>
      <c r="D27" s="271"/>
      <c r="E27" s="271"/>
      <c r="F27" s="271"/>
      <c r="G27" s="271"/>
      <c r="H27" s="271"/>
      <c r="I27" s="271"/>
      <c r="J27" s="271"/>
    </row>
    <row r="28" spans="2:10" ht="17.100000000000001" customHeight="1" x14ac:dyDescent="0.3">
      <c r="B28" s="271"/>
      <c r="C28" s="271"/>
      <c r="D28" s="271"/>
      <c r="E28" s="271"/>
      <c r="F28" s="271"/>
      <c r="G28" s="271"/>
      <c r="H28" s="271"/>
      <c r="I28" s="271"/>
      <c r="J28" s="271"/>
    </row>
    <row r="29" spans="2:10" ht="17.100000000000001" customHeight="1" x14ac:dyDescent="0.3">
      <c r="B29" s="271"/>
      <c r="C29" s="271"/>
      <c r="D29" s="271"/>
      <c r="E29" s="271"/>
      <c r="F29" s="271"/>
      <c r="G29" s="271"/>
      <c r="H29" s="271"/>
      <c r="I29" s="271"/>
      <c r="J29" s="271"/>
    </row>
    <row r="30" spans="2:10" x14ac:dyDescent="0.3">
      <c r="B30" s="153"/>
      <c r="C30" s="153"/>
      <c r="D30" s="153"/>
      <c r="E30" s="153"/>
      <c r="F30" s="153"/>
      <c r="G30" s="153"/>
      <c r="H30" s="153"/>
      <c r="I30" s="153"/>
      <c r="J30" s="153"/>
    </row>
    <row r="31" spans="2:10" x14ac:dyDescent="0.3">
      <c r="B31" s="154"/>
      <c r="C31" s="154"/>
      <c r="D31" s="154"/>
      <c r="E31" s="154"/>
      <c r="F31" s="154"/>
      <c r="G31" s="154"/>
      <c r="H31" s="154"/>
      <c r="I31" s="154"/>
      <c r="J31" s="154"/>
    </row>
    <row r="32" spans="2:10" x14ac:dyDescent="0.3">
      <c r="B32" s="154"/>
      <c r="C32" s="154"/>
      <c r="D32" s="154"/>
      <c r="E32" s="154"/>
      <c r="F32" s="154"/>
      <c r="G32" s="154"/>
      <c r="H32" s="154"/>
      <c r="I32" s="154"/>
      <c r="J32" s="154"/>
    </row>
    <row r="33" spans="2:10" x14ac:dyDescent="0.3">
      <c r="B33" s="154"/>
      <c r="C33" s="154">
        <f>CARÁTULA!$C$19</f>
        <v>0</v>
      </c>
      <c r="D33" s="154"/>
      <c r="E33" s="154"/>
      <c r="F33" s="154"/>
      <c r="G33" s="154"/>
      <c r="H33" s="154"/>
      <c r="I33" s="154"/>
      <c r="J33" s="154"/>
    </row>
    <row r="34" spans="2:10" x14ac:dyDescent="0.3">
      <c r="B34" s="154"/>
      <c r="C34" s="155" t="s">
        <v>110</v>
      </c>
      <c r="D34" s="154"/>
      <c r="E34" s="154"/>
      <c r="F34" s="154"/>
      <c r="G34" s="154"/>
      <c r="H34" s="154"/>
      <c r="I34" s="155" t="s">
        <v>4</v>
      </c>
      <c r="J34" s="154"/>
    </row>
    <row r="35" spans="2:10" x14ac:dyDescent="0.3">
      <c r="B35" s="154"/>
      <c r="C35" s="154"/>
      <c r="D35" s="154"/>
      <c r="E35" s="154"/>
      <c r="F35" s="154"/>
      <c r="G35" s="154"/>
      <c r="H35" s="154"/>
      <c r="I35" s="154"/>
      <c r="J35" s="154"/>
    </row>
    <row r="36" spans="2:10" x14ac:dyDescent="0.3">
      <c r="B36" s="154"/>
      <c r="C36" s="154"/>
      <c r="D36" s="154"/>
      <c r="E36" s="154"/>
      <c r="F36" s="154"/>
      <c r="G36" s="154"/>
      <c r="H36" s="154"/>
      <c r="I36" s="154"/>
      <c r="J36" s="154"/>
    </row>
    <row r="37" spans="2:10" x14ac:dyDescent="0.3">
      <c r="B37" s="154"/>
      <c r="C37" s="154"/>
      <c r="D37" s="154"/>
      <c r="E37" s="154"/>
      <c r="F37" s="154"/>
      <c r="G37" s="154"/>
      <c r="H37" s="154"/>
      <c r="I37" s="154"/>
      <c r="J37" s="154"/>
    </row>
    <row r="38" spans="2:10" x14ac:dyDescent="0.3">
      <c r="B38" s="154"/>
      <c r="C38" s="154"/>
      <c r="D38" s="154"/>
      <c r="E38" s="154"/>
      <c r="F38" s="154"/>
      <c r="G38" s="154"/>
      <c r="H38" s="154"/>
      <c r="I38" s="154"/>
      <c r="J38" s="154"/>
    </row>
    <row r="39" spans="2:10" x14ac:dyDescent="0.3">
      <c r="B39" s="153"/>
      <c r="C39" s="153"/>
      <c r="D39" s="153"/>
      <c r="E39" s="153"/>
      <c r="F39" s="153"/>
      <c r="G39" s="153"/>
      <c r="H39" s="153"/>
      <c r="I39" s="153"/>
      <c r="J39" s="153"/>
    </row>
  </sheetData>
  <sheetProtection algorithmName="SHA-512" hashValue="ixziMe11CSi88DYa/3svNuGEBqJc1R8XBw4+uLHoK4xelSF7pv3nuQjX4S7lxf+QLm5GqJNEp4g7MNF6UQw5FA==" saltValue="RLbUSxTRiAdvdKRTY33aNQ==" spinCount="100000" sheet="1" objects="1" scenarios="1"/>
  <mergeCells count="7">
    <mergeCell ref="B27:J29"/>
    <mergeCell ref="B2:J2"/>
    <mergeCell ref="B13:J13"/>
    <mergeCell ref="B15:J17"/>
    <mergeCell ref="B18:J20"/>
    <mergeCell ref="B21:J23"/>
    <mergeCell ref="B24:J26"/>
  </mergeCells>
  <pageMargins left="0" right="0" top="0" bottom="0" header="0.31496062992125984" footer="0.31496062992125984"/>
  <pageSetup orientation="landscape"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Botón2_Haga_clic_en">
                <anchor>
                  <from>
                    <xdr:col>9</xdr:col>
                    <xdr:colOff>716280</xdr:colOff>
                    <xdr:row>2</xdr:row>
                    <xdr:rowOff>0</xdr:rowOff>
                  </from>
                  <to>
                    <xdr:col>10</xdr:col>
                    <xdr:colOff>1036320</xdr:colOff>
                    <xdr:row>3</xdr:row>
                    <xdr:rowOff>144780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16">
    <tabColor rgb="FFFF0000"/>
  </sheetPr>
  <dimension ref="B1:J39"/>
  <sheetViews>
    <sheetView workbookViewId="0">
      <selection activeCell="K10" sqref="K10"/>
    </sheetView>
  </sheetViews>
  <sheetFormatPr baseColWidth="10" defaultColWidth="10.92578125" defaultRowHeight="14.4" x14ac:dyDescent="0.3"/>
  <cols>
    <col min="1" max="1" width="3.92578125" style="141" customWidth="1"/>
    <col min="2" max="2" width="6.28515625" style="141" customWidth="1"/>
    <col min="3" max="3" width="12.640625" style="141" customWidth="1"/>
    <col min="4" max="4" width="5.92578125" style="141" customWidth="1"/>
    <col min="5" max="5" width="7.5703125" style="141" customWidth="1"/>
    <col min="6" max="6" width="2.92578125" style="141" customWidth="1"/>
    <col min="7" max="7" width="14.78515625" style="141" customWidth="1"/>
    <col min="8" max="8" width="5.28515625" style="141" customWidth="1"/>
    <col min="9" max="16384" width="10.92578125" style="141"/>
  </cols>
  <sheetData>
    <row r="1" spans="2:10" ht="8.1" customHeight="1" x14ac:dyDescent="0.3"/>
    <row r="2" spans="2:10" ht="21" x14ac:dyDescent="0.3">
      <c r="B2" s="273" t="s">
        <v>112</v>
      </c>
      <c r="C2" s="273"/>
      <c r="D2" s="273"/>
      <c r="E2" s="273"/>
      <c r="F2" s="273"/>
      <c r="G2" s="273"/>
      <c r="H2" s="273"/>
      <c r="I2" s="273"/>
      <c r="J2" s="273"/>
    </row>
    <row r="3" spans="2:10" x14ac:dyDescent="0.3">
      <c r="B3" s="146" t="s">
        <v>3</v>
      </c>
      <c r="D3" s="143">
        <f>CARÁTULA!$C$15</f>
        <v>0</v>
      </c>
      <c r="H3" s="146" t="s">
        <v>8</v>
      </c>
      <c r="I3" s="143">
        <f>CARÁTULA!$C$25</f>
        <v>0</v>
      </c>
    </row>
    <row r="4" spans="2:10" x14ac:dyDescent="0.3">
      <c r="B4" s="146" t="s">
        <v>6</v>
      </c>
      <c r="D4" s="143">
        <f>CARÁTULA!$C$21</f>
        <v>0</v>
      </c>
      <c r="H4" s="152" t="s">
        <v>26</v>
      </c>
      <c r="I4" s="143">
        <f>CARÁTULA!$C$19</f>
        <v>0</v>
      </c>
    </row>
    <row r="5" spans="2:10" x14ac:dyDescent="0.3">
      <c r="B5" s="146" t="s">
        <v>17</v>
      </c>
      <c r="D5" s="143">
        <f>CARÁTULA!$C$23</f>
        <v>0</v>
      </c>
      <c r="H5" s="146" t="s">
        <v>19</v>
      </c>
      <c r="I5" s="78">
        <f ca="1">TODAY()</f>
        <v>44596</v>
      </c>
    </row>
    <row r="6" spans="2:10" x14ac:dyDescent="0.3">
      <c r="G6" s="147"/>
      <c r="H6" s="147"/>
      <c r="I6" s="148" t="s">
        <v>98</v>
      </c>
    </row>
    <row r="7" spans="2:10" x14ac:dyDescent="0.3">
      <c r="B7" s="142" t="s">
        <v>82</v>
      </c>
      <c r="C7" s="144" t="s">
        <v>88</v>
      </c>
      <c r="D7" s="142" t="s">
        <v>113</v>
      </c>
      <c r="E7" s="145" t="s">
        <v>95</v>
      </c>
      <c r="G7" s="149" t="s">
        <v>99</v>
      </c>
      <c r="H7" s="148">
        <f>'VAL 3 TRIM'!$AO$9</f>
        <v>35</v>
      </c>
      <c r="I7" s="74">
        <f>H7/H11</f>
        <v>0.97222222222222221</v>
      </c>
    </row>
    <row r="8" spans="2:10" x14ac:dyDescent="0.3">
      <c r="B8" s="142" t="s">
        <v>83</v>
      </c>
      <c r="C8" s="144" t="s">
        <v>91</v>
      </c>
      <c r="D8" s="142" t="s">
        <v>92</v>
      </c>
      <c r="E8" s="145" t="s">
        <v>96</v>
      </c>
      <c r="G8" s="149" t="s">
        <v>100</v>
      </c>
      <c r="H8" s="148">
        <f>'VAL 3 TRIM'!$AO$10</f>
        <v>0</v>
      </c>
      <c r="I8" s="74">
        <f>H8/H11</f>
        <v>0</v>
      </c>
    </row>
    <row r="9" spans="2:10" x14ac:dyDescent="0.3">
      <c r="B9" s="142" t="s">
        <v>84</v>
      </c>
      <c r="C9" s="144" t="s">
        <v>89</v>
      </c>
      <c r="D9" s="142" t="s">
        <v>93</v>
      </c>
      <c r="E9" s="145" t="s">
        <v>96</v>
      </c>
      <c r="G9" s="150" t="s">
        <v>101</v>
      </c>
      <c r="H9" s="148">
        <f>'VAL 3 TRIM'!$AO$11</f>
        <v>0</v>
      </c>
      <c r="I9" s="74">
        <f>H9/H11</f>
        <v>0</v>
      </c>
    </row>
    <row r="10" spans="2:10" x14ac:dyDescent="0.3">
      <c r="B10" s="142" t="s">
        <v>85</v>
      </c>
      <c r="C10" s="144" t="s">
        <v>90</v>
      </c>
      <c r="D10" s="142" t="s">
        <v>94</v>
      </c>
      <c r="E10" s="145" t="s">
        <v>96</v>
      </c>
      <c r="G10" s="150" t="s">
        <v>102</v>
      </c>
      <c r="H10" s="148">
        <f>'VAL 3 TRIM'!$AO$12</f>
        <v>1</v>
      </c>
      <c r="I10" s="74">
        <f>H10/H11</f>
        <v>2.7777777777777776E-2</v>
      </c>
    </row>
    <row r="11" spans="2:10" x14ac:dyDescent="0.3">
      <c r="G11" s="151" t="s">
        <v>103</v>
      </c>
      <c r="H11" s="148">
        <f>SUM(H7:H10)</f>
        <v>36</v>
      </c>
      <c r="I11" s="74">
        <f>SUM(I7:I10)</f>
        <v>1</v>
      </c>
    </row>
    <row r="13" spans="2:10" ht="18" x14ac:dyDescent="0.3">
      <c r="B13" s="272" t="s">
        <v>108</v>
      </c>
      <c r="C13" s="272"/>
      <c r="D13" s="272"/>
      <c r="E13" s="272"/>
      <c r="F13" s="272"/>
      <c r="G13" s="272"/>
      <c r="H13" s="272"/>
      <c r="I13" s="272"/>
      <c r="J13" s="272"/>
    </row>
    <row r="15" spans="2:10" ht="17.100000000000001" customHeight="1" x14ac:dyDescent="0.3">
      <c r="B15" s="271" t="s">
        <v>104</v>
      </c>
      <c r="C15" s="271"/>
      <c r="D15" s="271"/>
      <c r="E15" s="271"/>
      <c r="F15" s="271"/>
      <c r="G15" s="271"/>
      <c r="H15" s="271"/>
      <c r="I15" s="271"/>
      <c r="J15" s="271"/>
    </row>
    <row r="16" spans="2:10" ht="17.100000000000001" customHeight="1" x14ac:dyDescent="0.3">
      <c r="B16" s="271"/>
      <c r="C16" s="271"/>
      <c r="D16" s="271"/>
      <c r="E16" s="271"/>
      <c r="F16" s="271"/>
      <c r="G16" s="271"/>
      <c r="H16" s="271"/>
      <c r="I16" s="271"/>
      <c r="J16" s="271"/>
    </row>
    <row r="17" spans="2:10" ht="17.100000000000001" customHeight="1" x14ac:dyDescent="0.3">
      <c r="B17" s="271"/>
      <c r="C17" s="271"/>
      <c r="D17" s="271"/>
      <c r="E17" s="271"/>
      <c r="F17" s="271"/>
      <c r="G17" s="271"/>
      <c r="H17" s="271"/>
      <c r="I17" s="271"/>
      <c r="J17" s="271"/>
    </row>
    <row r="18" spans="2:10" ht="17.100000000000001" customHeight="1" x14ac:dyDescent="0.3">
      <c r="B18" s="271" t="s">
        <v>105</v>
      </c>
      <c r="C18" s="271"/>
      <c r="D18" s="271"/>
      <c r="E18" s="271"/>
      <c r="F18" s="271"/>
      <c r="G18" s="271"/>
      <c r="H18" s="271"/>
      <c r="I18" s="271"/>
      <c r="J18" s="271"/>
    </row>
    <row r="19" spans="2:10" ht="17.100000000000001" customHeight="1" x14ac:dyDescent="0.3">
      <c r="B19" s="271"/>
      <c r="C19" s="271"/>
      <c r="D19" s="271"/>
      <c r="E19" s="271"/>
      <c r="F19" s="271"/>
      <c r="G19" s="271"/>
      <c r="H19" s="271"/>
      <c r="I19" s="271"/>
      <c r="J19" s="271"/>
    </row>
    <row r="20" spans="2:10" ht="17.100000000000001" customHeight="1" x14ac:dyDescent="0.3">
      <c r="B20" s="271"/>
      <c r="C20" s="271"/>
      <c r="D20" s="271"/>
      <c r="E20" s="271"/>
      <c r="F20" s="271"/>
      <c r="G20" s="271"/>
      <c r="H20" s="271"/>
      <c r="I20" s="271"/>
      <c r="J20" s="271"/>
    </row>
    <row r="21" spans="2:10" ht="17.100000000000001" customHeight="1" x14ac:dyDescent="0.3">
      <c r="B21" s="271" t="s">
        <v>106</v>
      </c>
      <c r="C21" s="271"/>
      <c r="D21" s="271"/>
      <c r="E21" s="271"/>
      <c r="F21" s="271"/>
      <c r="G21" s="271"/>
      <c r="H21" s="271"/>
      <c r="I21" s="271"/>
      <c r="J21" s="271"/>
    </row>
    <row r="22" spans="2:10" ht="17.100000000000001" customHeight="1" x14ac:dyDescent="0.3">
      <c r="B22" s="271"/>
      <c r="C22" s="271"/>
      <c r="D22" s="271"/>
      <c r="E22" s="271"/>
      <c r="F22" s="271"/>
      <c r="G22" s="271"/>
      <c r="H22" s="271"/>
      <c r="I22" s="271"/>
      <c r="J22" s="271"/>
    </row>
    <row r="23" spans="2:10" ht="17.100000000000001" customHeight="1" x14ac:dyDescent="0.3">
      <c r="B23" s="271"/>
      <c r="C23" s="271"/>
      <c r="D23" s="271"/>
      <c r="E23" s="271"/>
      <c r="F23" s="271"/>
      <c r="G23" s="271"/>
      <c r="H23" s="271"/>
      <c r="I23" s="271"/>
      <c r="J23" s="271"/>
    </row>
    <row r="24" spans="2:10" ht="17.100000000000001" customHeight="1" x14ac:dyDescent="0.3">
      <c r="B24" s="271" t="s">
        <v>107</v>
      </c>
      <c r="C24" s="271"/>
      <c r="D24" s="271"/>
      <c r="E24" s="271"/>
      <c r="F24" s="271"/>
      <c r="G24" s="271"/>
      <c r="H24" s="271"/>
      <c r="I24" s="271"/>
      <c r="J24" s="271"/>
    </row>
    <row r="25" spans="2:10" ht="17.100000000000001" customHeight="1" x14ac:dyDescent="0.3">
      <c r="B25" s="271"/>
      <c r="C25" s="271"/>
      <c r="D25" s="271"/>
      <c r="E25" s="271"/>
      <c r="F25" s="271"/>
      <c r="G25" s="271"/>
      <c r="H25" s="271"/>
      <c r="I25" s="271"/>
      <c r="J25" s="271"/>
    </row>
    <row r="26" spans="2:10" ht="17.100000000000001" customHeight="1" x14ac:dyDescent="0.3">
      <c r="B26" s="271"/>
      <c r="C26" s="271"/>
      <c r="D26" s="271"/>
      <c r="E26" s="271"/>
      <c r="F26" s="271"/>
      <c r="G26" s="271"/>
      <c r="H26" s="271"/>
      <c r="I26" s="271"/>
      <c r="J26" s="271"/>
    </row>
    <row r="27" spans="2:10" ht="17.100000000000001" customHeight="1" x14ac:dyDescent="0.3">
      <c r="B27" s="271" t="s">
        <v>109</v>
      </c>
      <c r="C27" s="271"/>
      <c r="D27" s="271"/>
      <c r="E27" s="271"/>
      <c r="F27" s="271"/>
      <c r="G27" s="271"/>
      <c r="H27" s="271"/>
      <c r="I27" s="271"/>
      <c r="J27" s="271"/>
    </row>
    <row r="28" spans="2:10" ht="17.100000000000001" customHeight="1" x14ac:dyDescent="0.3">
      <c r="B28" s="271"/>
      <c r="C28" s="271"/>
      <c r="D28" s="271"/>
      <c r="E28" s="271"/>
      <c r="F28" s="271"/>
      <c r="G28" s="271"/>
      <c r="H28" s="271"/>
      <c r="I28" s="271"/>
      <c r="J28" s="271"/>
    </row>
    <row r="29" spans="2:10" ht="17.100000000000001" customHeight="1" x14ac:dyDescent="0.3">
      <c r="B29" s="271"/>
      <c r="C29" s="271"/>
      <c r="D29" s="271"/>
      <c r="E29" s="271"/>
      <c r="F29" s="271"/>
      <c r="G29" s="271"/>
      <c r="H29" s="271"/>
      <c r="I29" s="271"/>
      <c r="J29" s="271"/>
    </row>
    <row r="30" spans="2:10" x14ac:dyDescent="0.3">
      <c r="B30" s="153"/>
      <c r="C30" s="153"/>
      <c r="D30" s="153"/>
      <c r="E30" s="153"/>
      <c r="F30" s="153"/>
      <c r="G30" s="153"/>
      <c r="H30" s="153"/>
      <c r="I30" s="153"/>
      <c r="J30" s="153"/>
    </row>
    <row r="31" spans="2:10" x14ac:dyDescent="0.3">
      <c r="B31" s="154"/>
      <c r="C31" s="154"/>
      <c r="D31" s="154"/>
      <c r="E31" s="154"/>
      <c r="F31" s="154"/>
      <c r="G31" s="154"/>
      <c r="H31" s="154"/>
      <c r="I31" s="154"/>
      <c r="J31" s="154"/>
    </row>
    <row r="32" spans="2:10" x14ac:dyDescent="0.3">
      <c r="B32" s="154"/>
      <c r="C32" s="154"/>
      <c r="D32" s="154"/>
      <c r="E32" s="154"/>
      <c r="F32" s="154"/>
      <c r="G32" s="154"/>
      <c r="H32" s="154"/>
      <c r="I32" s="154"/>
      <c r="J32" s="154"/>
    </row>
    <row r="33" spans="2:10" x14ac:dyDescent="0.3">
      <c r="B33" s="154"/>
      <c r="C33" s="154">
        <f>CARÁTULA!$C$19</f>
        <v>0</v>
      </c>
      <c r="D33" s="154"/>
      <c r="E33" s="154"/>
      <c r="F33" s="154"/>
      <c r="G33" s="154"/>
      <c r="H33" s="154"/>
      <c r="I33" s="154"/>
      <c r="J33" s="154"/>
    </row>
    <row r="34" spans="2:10" x14ac:dyDescent="0.3">
      <c r="B34" s="154"/>
      <c r="C34" s="155" t="s">
        <v>110</v>
      </c>
      <c r="D34" s="154"/>
      <c r="E34" s="154"/>
      <c r="F34" s="154"/>
      <c r="G34" s="154"/>
      <c r="H34" s="154"/>
      <c r="I34" s="155" t="s">
        <v>4</v>
      </c>
      <c r="J34" s="154"/>
    </row>
    <row r="35" spans="2:10" x14ac:dyDescent="0.3">
      <c r="B35" s="154"/>
      <c r="C35" s="154"/>
      <c r="D35" s="154"/>
      <c r="E35" s="154"/>
      <c r="F35" s="154"/>
      <c r="G35" s="154"/>
      <c r="H35" s="154"/>
      <c r="I35" s="154"/>
      <c r="J35" s="154"/>
    </row>
    <row r="36" spans="2:10" x14ac:dyDescent="0.3">
      <c r="B36" s="154"/>
      <c r="C36" s="154"/>
      <c r="D36" s="154"/>
      <c r="E36" s="154"/>
      <c r="F36" s="154"/>
      <c r="G36" s="154"/>
      <c r="H36" s="154"/>
      <c r="I36" s="154"/>
      <c r="J36" s="154"/>
    </row>
    <row r="37" spans="2:10" x14ac:dyDescent="0.3">
      <c r="B37" s="154"/>
      <c r="C37" s="154"/>
      <c r="D37" s="154"/>
      <c r="E37" s="154"/>
      <c r="F37" s="154"/>
      <c r="G37" s="154"/>
      <c r="H37" s="154"/>
      <c r="I37" s="154"/>
      <c r="J37" s="154"/>
    </row>
    <row r="38" spans="2:10" x14ac:dyDescent="0.3">
      <c r="B38" s="154"/>
      <c r="C38" s="154"/>
      <c r="D38" s="154"/>
      <c r="E38" s="154"/>
      <c r="F38" s="154"/>
      <c r="G38" s="154"/>
      <c r="H38" s="154"/>
      <c r="I38" s="154"/>
      <c r="J38" s="154"/>
    </row>
    <row r="39" spans="2:10" x14ac:dyDescent="0.3">
      <c r="B39" s="153"/>
      <c r="C39" s="153"/>
      <c r="D39" s="153"/>
      <c r="E39" s="153"/>
      <c r="F39" s="153"/>
      <c r="G39" s="153"/>
      <c r="H39" s="153"/>
      <c r="I39" s="153"/>
      <c r="J39" s="153"/>
    </row>
  </sheetData>
  <sheetProtection algorithmName="SHA-512" hashValue="fjX3z9RIabIydJh1PB9ufv5fdzbHMI6fn/YUw2ZsnNxO/ViTX32BifzI/yvoqr8hlfVmGjx2u5ciPFy2KhU0cA==" saltValue="ARAIxQIAKl09fOVQADtx5Q==" spinCount="100000" sheet="1" objects="1" scenarios="1"/>
  <mergeCells count="7">
    <mergeCell ref="B27:J29"/>
    <mergeCell ref="B2:J2"/>
    <mergeCell ref="B13:J13"/>
    <mergeCell ref="B15:J17"/>
    <mergeCell ref="B18:J20"/>
    <mergeCell ref="B21:J23"/>
    <mergeCell ref="B24:J26"/>
  </mergeCells>
  <pageMargins left="0" right="0" top="0" bottom="0" header="0.31496062992125984" footer="0.31496062992125984"/>
  <pageSetup orientation="landscape"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Botón2_Haga_clic_en">
                <anchor>
                  <from>
                    <xdr:col>9</xdr:col>
                    <xdr:colOff>716280</xdr:colOff>
                    <xdr:row>2</xdr:row>
                    <xdr:rowOff>0</xdr:rowOff>
                  </from>
                  <to>
                    <xdr:col>10</xdr:col>
                    <xdr:colOff>1036320</xdr:colOff>
                    <xdr:row>3</xdr:row>
                    <xdr:rowOff>144780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2">
    <tabColor rgb="FFFFC000"/>
  </sheetPr>
  <dimension ref="B2:J47"/>
  <sheetViews>
    <sheetView topLeftCell="A16" zoomScale="120" zoomScaleNormal="120" workbookViewId="0">
      <selection activeCell="J18" sqref="J18"/>
    </sheetView>
  </sheetViews>
  <sheetFormatPr baseColWidth="10" defaultColWidth="5.640625" defaultRowHeight="14.1" customHeight="1" x14ac:dyDescent="0.3"/>
  <cols>
    <col min="1" max="1" width="1.640625" style="71" customWidth="1"/>
    <col min="2" max="2" width="5.640625" style="71"/>
    <col min="3" max="3" width="4.35546875" style="71" customWidth="1"/>
    <col min="4" max="4" width="6.28515625" style="71" customWidth="1"/>
    <col min="5" max="5" width="7.5703125" style="71" customWidth="1"/>
    <col min="6" max="6" width="13.35546875" style="71" customWidth="1"/>
    <col min="7" max="7" width="10.7109375" style="71" customWidth="1"/>
    <col min="8" max="8" width="8.2109375" style="71" customWidth="1"/>
    <col min="9" max="16384" width="5.640625" style="71"/>
  </cols>
  <sheetData>
    <row r="2" spans="2:10" ht="14.1" customHeight="1" x14ac:dyDescent="0.3">
      <c r="C2" s="279" t="s">
        <v>74</v>
      </c>
      <c r="D2" s="279"/>
      <c r="E2" s="279"/>
      <c r="F2" s="279"/>
      <c r="G2" s="279"/>
      <c r="H2" s="279"/>
      <c r="I2" s="279"/>
    </row>
    <row r="3" spans="2:10" ht="14.1" customHeight="1" x14ac:dyDescent="0.3">
      <c r="B3" s="103" t="s">
        <v>3</v>
      </c>
      <c r="C3" s="102"/>
      <c r="D3" s="102"/>
      <c r="E3" s="102">
        <f>CARÁTULA!$C$15</f>
        <v>0</v>
      </c>
      <c r="F3" s="102"/>
      <c r="G3" s="103" t="s">
        <v>8</v>
      </c>
      <c r="H3" s="102">
        <f>CARÁTULA!$C$25</f>
        <v>0</v>
      </c>
      <c r="I3" s="102"/>
      <c r="J3" s="102"/>
    </row>
    <row r="4" spans="2:10" ht="14.1" customHeight="1" x14ac:dyDescent="0.3">
      <c r="B4" s="103" t="s">
        <v>6</v>
      </c>
      <c r="C4" s="102"/>
      <c r="D4" s="102"/>
      <c r="E4" s="102">
        <f>CARÁTULA!$C$21</f>
        <v>0</v>
      </c>
      <c r="F4" s="102"/>
      <c r="G4" s="103" t="s">
        <v>26</v>
      </c>
      <c r="H4" s="102">
        <f>CARÁTULA!$C$19</f>
        <v>0</v>
      </c>
      <c r="I4" s="102"/>
      <c r="J4" s="102"/>
    </row>
    <row r="5" spans="2:10" ht="14.1" customHeight="1" x14ac:dyDescent="0.3">
      <c r="B5" s="103" t="s">
        <v>17</v>
      </c>
      <c r="C5" s="102"/>
      <c r="D5" s="102"/>
      <c r="E5" s="102">
        <f>CARÁTULA!$C$23</f>
        <v>0</v>
      </c>
      <c r="F5" s="102"/>
      <c r="G5" s="103" t="s">
        <v>19</v>
      </c>
      <c r="H5" s="112">
        <f ca="1">TODAY()</f>
        <v>44596</v>
      </c>
      <c r="I5" s="102"/>
      <c r="J5" s="102"/>
    </row>
    <row r="6" spans="2:10" ht="14.1" customHeight="1" x14ac:dyDescent="0.3">
      <c r="B6" s="102"/>
      <c r="C6" s="102"/>
      <c r="D6" s="102"/>
      <c r="E6" s="102"/>
      <c r="F6" s="102"/>
      <c r="G6" s="102"/>
      <c r="H6" s="102"/>
      <c r="I6" s="102"/>
      <c r="J6" s="102"/>
    </row>
    <row r="7" spans="2:10" ht="14.1" customHeight="1" x14ac:dyDescent="0.3">
      <c r="B7" s="94"/>
      <c r="C7" s="94"/>
      <c r="D7" s="94"/>
      <c r="E7" s="94"/>
      <c r="F7" s="94"/>
      <c r="G7" s="94"/>
      <c r="H7" s="94"/>
      <c r="I7" s="94"/>
      <c r="J7" s="94"/>
    </row>
    <row r="8" spans="2:10" ht="14.1" customHeight="1" x14ac:dyDescent="0.3">
      <c r="C8" s="276" t="s">
        <v>18</v>
      </c>
      <c r="D8" s="98" t="s">
        <v>65</v>
      </c>
      <c r="E8" s="98" t="s">
        <v>64</v>
      </c>
      <c r="F8" s="99" t="s">
        <v>66</v>
      </c>
      <c r="G8" s="98" t="s">
        <v>67</v>
      </c>
      <c r="H8" s="98" t="s">
        <v>68</v>
      </c>
    </row>
    <row r="9" spans="2:10" ht="14.1" customHeight="1" x14ac:dyDescent="0.3">
      <c r="C9" s="277"/>
      <c r="D9" s="104" t="s">
        <v>75</v>
      </c>
      <c r="E9" s="105">
        <v>3</v>
      </c>
      <c r="F9" s="96">
        <v>20</v>
      </c>
      <c r="G9" s="96">
        <v>19</v>
      </c>
      <c r="H9" s="74">
        <f>G9/$G$12</f>
        <v>0.43181818181818182</v>
      </c>
    </row>
    <row r="10" spans="2:10" ht="14.1" customHeight="1" x14ac:dyDescent="0.3">
      <c r="C10" s="277"/>
      <c r="D10" s="104" t="s">
        <v>76</v>
      </c>
      <c r="E10" s="105">
        <v>2</v>
      </c>
      <c r="F10" s="96">
        <v>13</v>
      </c>
      <c r="G10" s="96">
        <v>13</v>
      </c>
      <c r="H10" s="74">
        <f>G10/$G$12</f>
        <v>0.29545454545454547</v>
      </c>
    </row>
    <row r="11" spans="2:10" ht="14.1" customHeight="1" x14ac:dyDescent="0.3">
      <c r="C11" s="277"/>
      <c r="D11" s="104" t="s">
        <v>77</v>
      </c>
      <c r="E11" s="105">
        <v>2</v>
      </c>
      <c r="F11" s="96">
        <v>12</v>
      </c>
      <c r="G11" s="96">
        <v>12</v>
      </c>
      <c r="H11" s="74">
        <f>G11/$G$12</f>
        <v>0.27272727272727271</v>
      </c>
    </row>
    <row r="12" spans="2:10" ht="14.1" customHeight="1" x14ac:dyDescent="0.3">
      <c r="C12" s="278"/>
      <c r="D12" s="97"/>
      <c r="E12" s="101">
        <f>SUM(E9:E11)</f>
        <v>7</v>
      </c>
      <c r="F12" s="100">
        <f>SUM(F9:F11)</f>
        <v>45</v>
      </c>
      <c r="G12" s="101">
        <f>SUM(G9:G11)</f>
        <v>44</v>
      </c>
      <c r="H12" s="75">
        <f>SUM(H9:H11)</f>
        <v>1</v>
      </c>
    </row>
    <row r="15" spans="2:10" ht="14.1" customHeight="1" x14ac:dyDescent="0.3">
      <c r="C15" s="276" t="s">
        <v>69</v>
      </c>
      <c r="D15" s="98" t="s">
        <v>65</v>
      </c>
      <c r="E15" s="98" t="s">
        <v>64</v>
      </c>
      <c r="F15" s="99" t="s">
        <v>66</v>
      </c>
      <c r="G15" s="98" t="s">
        <v>67</v>
      </c>
      <c r="H15" s="98" t="s">
        <v>68</v>
      </c>
    </row>
    <row r="16" spans="2:10" ht="14.1" customHeight="1" x14ac:dyDescent="0.3">
      <c r="C16" s="277"/>
      <c r="D16" s="104" t="s">
        <v>75</v>
      </c>
      <c r="E16" s="105">
        <v>3</v>
      </c>
      <c r="F16" s="96">
        <v>12</v>
      </c>
      <c r="G16" s="96">
        <v>12</v>
      </c>
      <c r="H16" s="74">
        <f>G16/$G$19</f>
        <v>0.33333333333333331</v>
      </c>
    </row>
    <row r="17" spans="3:8" ht="14.1" customHeight="1" x14ac:dyDescent="0.3">
      <c r="C17" s="277"/>
      <c r="D17" s="104" t="s">
        <v>76</v>
      </c>
      <c r="E17" s="105">
        <v>4</v>
      </c>
      <c r="F17" s="96">
        <v>11</v>
      </c>
      <c r="G17" s="96">
        <v>11</v>
      </c>
      <c r="H17" s="74">
        <f>G17/$G$19</f>
        <v>0.30555555555555558</v>
      </c>
    </row>
    <row r="18" spans="3:8" ht="14.1" customHeight="1" x14ac:dyDescent="0.3">
      <c r="C18" s="277"/>
      <c r="D18" s="104" t="s">
        <v>77</v>
      </c>
      <c r="E18" s="105">
        <v>5</v>
      </c>
      <c r="F18" s="96">
        <v>13</v>
      </c>
      <c r="G18" s="96">
        <v>13</v>
      </c>
      <c r="H18" s="74">
        <f>G18/$G$19</f>
        <v>0.3611111111111111</v>
      </c>
    </row>
    <row r="19" spans="3:8" ht="14.1" customHeight="1" x14ac:dyDescent="0.3">
      <c r="C19" s="278"/>
      <c r="D19" s="97"/>
      <c r="E19" s="106">
        <f>SUM(E16:E18)</f>
        <v>12</v>
      </c>
      <c r="F19" s="100">
        <f>SUM(F16:F18)</f>
        <v>36</v>
      </c>
      <c r="G19" s="101">
        <f>SUM(G16:G18)</f>
        <v>36</v>
      </c>
      <c r="H19" s="75">
        <f>SUM(H16:H18)</f>
        <v>1</v>
      </c>
    </row>
    <row r="22" spans="3:8" ht="14.1" customHeight="1" x14ac:dyDescent="0.3">
      <c r="C22" s="276" t="s">
        <v>70</v>
      </c>
      <c r="D22" s="98" t="s">
        <v>65</v>
      </c>
      <c r="E22" s="98" t="s">
        <v>64</v>
      </c>
      <c r="F22" s="99" t="s">
        <v>66</v>
      </c>
      <c r="G22" s="98" t="s">
        <v>67</v>
      </c>
      <c r="H22" s="98" t="s">
        <v>68</v>
      </c>
    </row>
    <row r="23" spans="3:8" ht="14.1" customHeight="1" x14ac:dyDescent="0.3">
      <c r="C23" s="277"/>
      <c r="D23" s="104" t="s">
        <v>75</v>
      </c>
      <c r="E23" s="105">
        <v>5</v>
      </c>
      <c r="F23" s="96">
        <v>10</v>
      </c>
      <c r="G23" s="96">
        <v>10</v>
      </c>
      <c r="H23" s="74">
        <f>G23/$G$26</f>
        <v>0.25641025641025639</v>
      </c>
    </row>
    <row r="24" spans="3:8" ht="14.1" customHeight="1" x14ac:dyDescent="0.3">
      <c r="C24" s="277"/>
      <c r="D24" s="104" t="s">
        <v>76</v>
      </c>
      <c r="E24" s="105">
        <v>6</v>
      </c>
      <c r="F24" s="96">
        <v>14</v>
      </c>
      <c r="G24" s="96">
        <v>14</v>
      </c>
      <c r="H24" s="74">
        <f>G24/$G$26</f>
        <v>0.35897435897435898</v>
      </c>
    </row>
    <row r="25" spans="3:8" ht="14.1" customHeight="1" x14ac:dyDescent="0.3">
      <c r="C25" s="277"/>
      <c r="D25" s="104" t="s">
        <v>77</v>
      </c>
      <c r="E25" s="105">
        <v>4</v>
      </c>
      <c r="F25" s="96">
        <v>15</v>
      </c>
      <c r="G25" s="96">
        <v>15</v>
      </c>
      <c r="H25" s="74">
        <f>G25/$G$26</f>
        <v>0.38461538461538464</v>
      </c>
    </row>
    <row r="26" spans="3:8" ht="14.1" customHeight="1" x14ac:dyDescent="0.3">
      <c r="C26" s="278"/>
      <c r="D26" s="97"/>
      <c r="E26" s="106">
        <f>SUM(E23:E25)</f>
        <v>15</v>
      </c>
      <c r="F26" s="100">
        <f>SUM(F23:F25)</f>
        <v>39</v>
      </c>
      <c r="G26" s="101">
        <f>SUM(G23:G25)</f>
        <v>39</v>
      </c>
      <c r="H26" s="75">
        <f>SUM(H23:H25)</f>
        <v>1</v>
      </c>
    </row>
    <row r="29" spans="3:8" ht="14.1" customHeight="1" x14ac:dyDescent="0.3">
      <c r="C29" s="276" t="s">
        <v>71</v>
      </c>
      <c r="D29" s="98" t="s">
        <v>65</v>
      </c>
      <c r="E29" s="98" t="s">
        <v>64</v>
      </c>
      <c r="F29" s="99" t="s">
        <v>66</v>
      </c>
      <c r="G29" s="98" t="s">
        <v>67</v>
      </c>
      <c r="H29" s="98" t="s">
        <v>68</v>
      </c>
    </row>
    <row r="30" spans="3:8" ht="14.1" customHeight="1" x14ac:dyDescent="0.3">
      <c r="C30" s="277"/>
      <c r="D30" s="104" t="s">
        <v>75</v>
      </c>
      <c r="E30" s="105">
        <v>6</v>
      </c>
      <c r="F30" s="96">
        <v>9</v>
      </c>
      <c r="G30" s="96">
        <v>9</v>
      </c>
      <c r="H30" s="74">
        <f>G30/$G$33</f>
        <v>0.28125</v>
      </c>
    </row>
    <row r="31" spans="3:8" ht="14.1" customHeight="1" x14ac:dyDescent="0.3">
      <c r="C31" s="277"/>
      <c r="D31" s="104" t="s">
        <v>76</v>
      </c>
      <c r="E31" s="105">
        <v>5</v>
      </c>
      <c r="F31" s="96">
        <v>11</v>
      </c>
      <c r="G31" s="96">
        <v>11</v>
      </c>
      <c r="H31" s="74">
        <f>G31/$G$33</f>
        <v>0.34375</v>
      </c>
    </row>
    <row r="32" spans="3:8" ht="14.1" customHeight="1" x14ac:dyDescent="0.3">
      <c r="C32" s="277"/>
      <c r="D32" s="104" t="s">
        <v>77</v>
      </c>
      <c r="E32" s="105">
        <v>3</v>
      </c>
      <c r="F32" s="96">
        <v>12</v>
      </c>
      <c r="G32" s="96">
        <v>12</v>
      </c>
      <c r="H32" s="74">
        <f>G32/$G$33</f>
        <v>0.375</v>
      </c>
    </row>
    <row r="33" spans="3:8" ht="14.1" customHeight="1" x14ac:dyDescent="0.3">
      <c r="C33" s="278"/>
      <c r="D33" s="95"/>
      <c r="E33" s="106">
        <f>SUM(E30:E32)</f>
        <v>14</v>
      </c>
      <c r="F33" s="100">
        <f>SUM(F30:F32)</f>
        <v>32</v>
      </c>
      <c r="G33" s="101">
        <f>SUM(G30:G32)</f>
        <v>32</v>
      </c>
      <c r="H33" s="75">
        <f>SUM(H30:H32)</f>
        <v>1</v>
      </c>
    </row>
    <row r="36" spans="3:8" ht="14.1" customHeight="1" x14ac:dyDescent="0.3">
      <c r="C36" s="276" t="s">
        <v>72</v>
      </c>
      <c r="D36" s="98" t="s">
        <v>65</v>
      </c>
      <c r="E36" s="98" t="s">
        <v>64</v>
      </c>
      <c r="F36" s="99" t="s">
        <v>66</v>
      </c>
      <c r="G36" s="98" t="s">
        <v>67</v>
      </c>
      <c r="H36" s="98" t="s">
        <v>68</v>
      </c>
    </row>
    <row r="37" spans="3:8" ht="14.1" customHeight="1" x14ac:dyDescent="0.3">
      <c r="C37" s="277"/>
      <c r="D37" s="104" t="s">
        <v>75</v>
      </c>
      <c r="E37" s="105">
        <v>3</v>
      </c>
      <c r="F37" s="96">
        <v>18</v>
      </c>
      <c r="G37" s="96">
        <v>18</v>
      </c>
      <c r="H37" s="74">
        <f>G37/$G$40</f>
        <v>0.33333333333333331</v>
      </c>
    </row>
    <row r="38" spans="3:8" ht="14.1" customHeight="1" x14ac:dyDescent="0.3">
      <c r="C38" s="277"/>
      <c r="D38" s="104" t="s">
        <v>76</v>
      </c>
      <c r="E38" s="105">
        <v>3</v>
      </c>
      <c r="F38" s="96">
        <v>19</v>
      </c>
      <c r="G38" s="96">
        <v>19</v>
      </c>
      <c r="H38" s="74">
        <f>G38/$G$40</f>
        <v>0.35185185185185186</v>
      </c>
    </row>
    <row r="39" spans="3:8" ht="14.1" customHeight="1" x14ac:dyDescent="0.3">
      <c r="C39" s="277"/>
      <c r="D39" s="104" t="s">
        <v>77</v>
      </c>
      <c r="E39" s="105">
        <v>3</v>
      </c>
      <c r="F39" s="96">
        <v>17</v>
      </c>
      <c r="G39" s="96">
        <v>17</v>
      </c>
      <c r="H39" s="74">
        <f>G39/$G$40</f>
        <v>0.31481481481481483</v>
      </c>
    </row>
    <row r="40" spans="3:8" ht="14.1" customHeight="1" x14ac:dyDescent="0.3">
      <c r="C40" s="278"/>
      <c r="D40" s="95"/>
      <c r="E40" s="106">
        <f>SUM(E37:E39)</f>
        <v>9</v>
      </c>
      <c r="F40" s="100">
        <f>SUM(F37:F39)</f>
        <v>54</v>
      </c>
      <c r="G40" s="101">
        <f>SUM(G37:G39)</f>
        <v>54</v>
      </c>
      <c r="H40" s="75">
        <f>SUM(H37:H39)</f>
        <v>1</v>
      </c>
    </row>
    <row r="43" spans="3:8" ht="14.1" customHeight="1" x14ac:dyDescent="0.3">
      <c r="C43" s="276" t="s">
        <v>73</v>
      </c>
      <c r="D43" s="98" t="s">
        <v>65</v>
      </c>
      <c r="E43" s="98" t="s">
        <v>64</v>
      </c>
      <c r="F43" s="99" t="s">
        <v>66</v>
      </c>
      <c r="G43" s="98" t="s">
        <v>67</v>
      </c>
      <c r="H43" s="98" t="s">
        <v>68</v>
      </c>
    </row>
    <row r="44" spans="3:8" ht="14.1" customHeight="1" x14ac:dyDescent="0.3">
      <c r="C44" s="277"/>
      <c r="D44" s="104" t="s">
        <v>75</v>
      </c>
      <c r="E44" s="105">
        <v>2</v>
      </c>
      <c r="F44" s="96">
        <v>7</v>
      </c>
      <c r="G44" s="96">
        <v>7</v>
      </c>
      <c r="H44" s="74">
        <f>G44/$G$47</f>
        <v>0.22580645161290322</v>
      </c>
    </row>
    <row r="45" spans="3:8" ht="14.1" customHeight="1" x14ac:dyDescent="0.3">
      <c r="C45" s="277"/>
      <c r="D45" s="104" t="s">
        <v>76</v>
      </c>
      <c r="E45" s="105">
        <v>4</v>
      </c>
      <c r="F45" s="96">
        <v>10</v>
      </c>
      <c r="G45" s="96">
        <v>10</v>
      </c>
      <c r="H45" s="74">
        <f>G45/$G$47</f>
        <v>0.32258064516129031</v>
      </c>
    </row>
    <row r="46" spans="3:8" ht="14.1" customHeight="1" x14ac:dyDescent="0.3">
      <c r="C46" s="277"/>
      <c r="D46" s="104" t="s">
        <v>77</v>
      </c>
      <c r="E46" s="105">
        <v>4</v>
      </c>
      <c r="F46" s="96">
        <v>14</v>
      </c>
      <c r="G46" s="96">
        <v>14</v>
      </c>
      <c r="H46" s="74">
        <f>G46/$G$47</f>
        <v>0.45161290322580644</v>
      </c>
    </row>
    <row r="47" spans="3:8" ht="14.1" customHeight="1" x14ac:dyDescent="0.3">
      <c r="C47" s="278"/>
      <c r="D47" s="95"/>
      <c r="E47" s="106">
        <f>SUM(E44:E46)</f>
        <v>10</v>
      </c>
      <c r="F47" s="100">
        <f>SUM(F44:F46)</f>
        <v>31</v>
      </c>
      <c r="G47" s="101">
        <f>SUM(G44:G46)</f>
        <v>31</v>
      </c>
      <c r="H47" s="75">
        <f>SUM(H44:H46)</f>
        <v>1</v>
      </c>
    </row>
  </sheetData>
  <sheetProtection algorithmName="SHA-512" hashValue="HY3VCGb7nNwUlrOHgPQjGRrOtXbNDfqKeHQC1y6WnMTYNkCPF88eWDKedS9B0HcVzU22eVBt/NAdhZbVYl7SoQ==" saltValue="Cy3vFSryqEHPUK916aXSLg==" spinCount="100000" sheet="1" objects="1" scenarios="1"/>
  <mergeCells count="7">
    <mergeCell ref="C36:C40"/>
    <mergeCell ref="C43:C47"/>
    <mergeCell ref="C2:I2"/>
    <mergeCell ref="C8:C12"/>
    <mergeCell ref="C15:C19"/>
    <mergeCell ref="C22:C26"/>
    <mergeCell ref="C29:C33"/>
  </mergeCells>
  <pageMargins left="0" right="0" top="0" bottom="0" header="0.31496062992125984" footer="0.31496062992125984"/>
  <pageSetup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Botón2_Haga_clic_en">
                <anchor>
                  <from>
                    <xdr:col>8</xdr:col>
                    <xdr:colOff>38100</xdr:colOff>
                    <xdr:row>5</xdr:row>
                    <xdr:rowOff>0</xdr:rowOff>
                  </from>
                  <to>
                    <xdr:col>9</xdr:col>
                    <xdr:colOff>487680</xdr:colOff>
                    <xdr:row>6</xdr:row>
                    <xdr:rowOff>160020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13">
    <tabColor rgb="FF00B050"/>
  </sheetPr>
  <dimension ref="A1:J61"/>
  <sheetViews>
    <sheetView zoomScale="120" zoomScaleNormal="120" workbookViewId="0">
      <selection activeCell="G7" sqref="G7"/>
    </sheetView>
  </sheetViews>
  <sheetFormatPr baseColWidth="10" defaultColWidth="10.92578125" defaultRowHeight="13.8" x14ac:dyDescent="0.3"/>
  <cols>
    <col min="1" max="4" width="1.640625" style="107" customWidth="1"/>
    <col min="5" max="6" width="4.640625" style="107" customWidth="1"/>
    <col min="7" max="7" width="26.640625" style="107" customWidth="1"/>
    <col min="8" max="8" width="7.5703125" style="107" customWidth="1"/>
    <col min="9" max="16384" width="10.92578125" style="107"/>
  </cols>
  <sheetData>
    <row r="1" spans="1:10" ht="8.1" customHeight="1" x14ac:dyDescent="0.3"/>
    <row r="2" spans="1:10" ht="14.4" x14ac:dyDescent="0.3">
      <c r="B2" s="115"/>
      <c r="C2" s="116"/>
      <c r="D2" s="116"/>
      <c r="E2" s="116"/>
      <c r="F2" s="116"/>
      <c r="G2" s="116"/>
      <c r="H2" s="116"/>
      <c r="I2" s="116"/>
    </row>
    <row r="3" spans="1:10" ht="18" x14ac:dyDescent="0.3">
      <c r="B3" s="116"/>
      <c r="C3" s="116"/>
      <c r="D3" s="116"/>
      <c r="E3" s="288" t="s">
        <v>80</v>
      </c>
      <c r="F3" s="288"/>
      <c r="G3" s="288"/>
      <c r="H3" s="288"/>
      <c r="I3" s="288"/>
    </row>
    <row r="4" spans="1:10" ht="6.9" customHeight="1" x14ac:dyDescent="0.3">
      <c r="B4" s="116"/>
      <c r="C4" s="116"/>
      <c r="D4" s="116"/>
      <c r="E4" s="116"/>
      <c r="F4" s="116"/>
      <c r="G4" s="116"/>
      <c r="H4" s="116"/>
      <c r="I4" s="116"/>
    </row>
    <row r="5" spans="1:10" x14ac:dyDescent="0.3">
      <c r="B5" s="116"/>
      <c r="C5" s="116"/>
      <c r="D5" s="116"/>
      <c r="E5" s="116"/>
      <c r="F5" s="116"/>
      <c r="G5" s="116"/>
      <c r="H5" s="116"/>
      <c r="I5" s="116"/>
    </row>
    <row r="6" spans="1:10" ht="14.4" x14ac:dyDescent="0.3">
      <c r="B6" s="117" t="s">
        <v>3</v>
      </c>
      <c r="C6" s="116"/>
      <c r="D6" s="116"/>
      <c r="E6" s="116"/>
      <c r="F6" s="116"/>
      <c r="G6" s="116">
        <f>CARÁTULA!$C$15</f>
        <v>0</v>
      </c>
      <c r="H6" s="117" t="s">
        <v>8</v>
      </c>
      <c r="I6" s="118">
        <f>CARÁTULA!$C$25</f>
        <v>0</v>
      </c>
      <c r="J6" s="119"/>
    </row>
    <row r="7" spans="1:10" ht="14.4" x14ac:dyDescent="0.3">
      <c r="B7" s="117" t="s">
        <v>6</v>
      </c>
      <c r="C7" s="116"/>
      <c r="D7" s="116"/>
      <c r="E7" s="116"/>
      <c r="F7" s="116"/>
      <c r="G7" s="118">
        <f>CARÁTULA!$C$21</f>
        <v>0</v>
      </c>
      <c r="H7" s="117" t="s">
        <v>26</v>
      </c>
      <c r="I7" s="116">
        <f>CARÁTULA!$C$19</f>
        <v>0</v>
      </c>
      <c r="J7" s="119"/>
    </row>
    <row r="8" spans="1:10" ht="15.6" x14ac:dyDescent="0.3">
      <c r="B8" s="117" t="s">
        <v>17</v>
      </c>
      <c r="C8" s="116"/>
      <c r="D8" s="116"/>
      <c r="E8" s="116"/>
      <c r="F8" s="116"/>
      <c r="G8" s="118">
        <f>CARÁTULA!$C$23</f>
        <v>0</v>
      </c>
      <c r="H8" s="117" t="s">
        <v>19</v>
      </c>
      <c r="I8" s="112">
        <f ca="1">TODAY()</f>
        <v>44596</v>
      </c>
      <c r="J8" s="119"/>
    </row>
    <row r="9" spans="1:10" ht="6.9" customHeight="1" x14ac:dyDescent="0.3">
      <c r="B9" s="119"/>
      <c r="C9" s="119"/>
      <c r="D9" s="119"/>
      <c r="E9" s="119"/>
      <c r="F9" s="119"/>
      <c r="G9" s="119"/>
      <c r="H9" s="119"/>
      <c r="I9" s="119"/>
      <c r="J9" s="119"/>
    </row>
    <row r="10" spans="1:10" s="111" customFormat="1" hidden="1" x14ac:dyDescent="0.3"/>
    <row r="11" spans="1:10" hidden="1" x14ac:dyDescent="0.3"/>
    <row r="12" spans="1:10" hidden="1" x14ac:dyDescent="0.3"/>
    <row r="13" spans="1:10" hidden="1" x14ac:dyDescent="0.3"/>
    <row r="14" spans="1:10" hidden="1" x14ac:dyDescent="0.3"/>
    <row r="15" spans="1:10" ht="6.9" customHeight="1" thickBot="1" x14ac:dyDescent="0.35">
      <c r="A15" s="108"/>
      <c r="B15" s="108"/>
      <c r="C15" s="108"/>
      <c r="D15" s="108"/>
      <c r="I15" s="108"/>
    </row>
    <row r="16" spans="1:10" ht="14.4" x14ac:dyDescent="0.3">
      <c r="A16" s="110"/>
      <c r="B16" s="110"/>
      <c r="C16" s="110"/>
      <c r="D16" s="110"/>
      <c r="E16" s="286" t="s">
        <v>78</v>
      </c>
      <c r="F16" s="287"/>
      <c r="G16" s="113" t="s">
        <v>20</v>
      </c>
      <c r="H16" s="114" t="s">
        <v>79</v>
      </c>
      <c r="I16" s="109"/>
    </row>
    <row r="17" spans="1:8" ht="12.9" customHeight="1" x14ac:dyDescent="0.3">
      <c r="A17" s="108"/>
      <c r="B17" s="108"/>
      <c r="C17" s="108"/>
      <c r="D17" s="108"/>
      <c r="E17" s="282"/>
      <c r="F17" s="283"/>
      <c r="G17" s="123">
        <f>'C. FILIACION'!B8</f>
        <v>0</v>
      </c>
      <c r="H17" s="120">
        <f>'CENTRAL 2'!F9</f>
        <v>100</v>
      </c>
    </row>
    <row r="18" spans="1:8" ht="12.9" customHeight="1" x14ac:dyDescent="0.3">
      <c r="E18" s="282"/>
      <c r="F18" s="283"/>
      <c r="G18" s="123">
        <f>'C. FILIACION'!B9</f>
        <v>0</v>
      </c>
      <c r="H18" s="120">
        <f>'CENTRAL 2'!F10</f>
        <v>0</v>
      </c>
    </row>
    <row r="19" spans="1:8" ht="12.9" customHeight="1" x14ac:dyDescent="0.3">
      <c r="E19" s="282"/>
      <c r="F19" s="283"/>
      <c r="G19" s="123">
        <f>'C. FILIACION'!B10</f>
        <v>0</v>
      </c>
      <c r="H19" s="120">
        <f>'CENTRAL 2'!F11</f>
        <v>0</v>
      </c>
    </row>
    <row r="20" spans="1:8" ht="12.9" customHeight="1" x14ac:dyDescent="0.3">
      <c r="E20" s="282"/>
      <c r="F20" s="283"/>
      <c r="G20" s="123">
        <f>'C. FILIACION'!B11</f>
        <v>0</v>
      </c>
      <c r="H20" s="120">
        <f>'CENTRAL 2'!F12</f>
        <v>0</v>
      </c>
    </row>
    <row r="21" spans="1:8" ht="12.9" customHeight="1" x14ac:dyDescent="0.3">
      <c r="E21" s="282"/>
      <c r="F21" s="283"/>
      <c r="G21" s="123">
        <f>'C. FILIACION'!B12</f>
        <v>0</v>
      </c>
      <c r="H21" s="120">
        <f>'CENTRAL 2'!F13</f>
        <v>0</v>
      </c>
    </row>
    <row r="22" spans="1:8" ht="12.9" customHeight="1" x14ac:dyDescent="0.3">
      <c r="E22" s="282"/>
      <c r="F22" s="283"/>
      <c r="G22" s="123">
        <f>'C. FILIACION'!B13</f>
        <v>0</v>
      </c>
      <c r="H22" s="120">
        <f>'CENTRAL 2'!F14</f>
        <v>0</v>
      </c>
    </row>
    <row r="23" spans="1:8" ht="12.9" customHeight="1" x14ac:dyDescent="0.3">
      <c r="E23" s="282"/>
      <c r="F23" s="283"/>
      <c r="G23" s="123">
        <f>'C. FILIACION'!B14</f>
        <v>0</v>
      </c>
      <c r="H23" s="120">
        <f>'CENTRAL 2'!F15</f>
        <v>0</v>
      </c>
    </row>
    <row r="24" spans="1:8" ht="12.9" customHeight="1" x14ac:dyDescent="0.3">
      <c r="E24" s="282"/>
      <c r="F24" s="283"/>
      <c r="G24" s="123">
        <f>'C. FILIACION'!B15</f>
        <v>0</v>
      </c>
      <c r="H24" s="120">
        <f>'CENTRAL 2'!F16</f>
        <v>0</v>
      </c>
    </row>
    <row r="25" spans="1:8" ht="12.9" customHeight="1" x14ac:dyDescent="0.3">
      <c r="E25" s="282"/>
      <c r="F25" s="283"/>
      <c r="G25" s="123">
        <f>'C. FILIACION'!B16</f>
        <v>0</v>
      </c>
      <c r="H25" s="120">
        <f>'CENTRAL 2'!F17</f>
        <v>0</v>
      </c>
    </row>
    <row r="26" spans="1:8" ht="12.9" customHeight="1" x14ac:dyDescent="0.3">
      <c r="E26" s="282"/>
      <c r="F26" s="283"/>
      <c r="G26" s="123">
        <f>'C. FILIACION'!B17</f>
        <v>0</v>
      </c>
      <c r="H26" s="120">
        <f>'CENTRAL 2'!F18</f>
        <v>0</v>
      </c>
    </row>
    <row r="27" spans="1:8" ht="12.9" customHeight="1" x14ac:dyDescent="0.3">
      <c r="E27" s="282"/>
      <c r="F27" s="283"/>
      <c r="G27" s="123">
        <f>'C. FILIACION'!B18</f>
        <v>0</v>
      </c>
      <c r="H27" s="120">
        <f>'CENTRAL 2'!F19</f>
        <v>0</v>
      </c>
    </row>
    <row r="28" spans="1:8" ht="12.9" customHeight="1" x14ac:dyDescent="0.3">
      <c r="E28" s="282"/>
      <c r="F28" s="283"/>
      <c r="G28" s="123">
        <f>'C. FILIACION'!B19</f>
        <v>0</v>
      </c>
      <c r="H28" s="120">
        <f>'CENTRAL 2'!F20</f>
        <v>0</v>
      </c>
    </row>
    <row r="29" spans="1:8" ht="12.9" customHeight="1" x14ac:dyDescent="0.3">
      <c r="E29" s="282"/>
      <c r="F29" s="283"/>
      <c r="G29" s="123">
        <f>'C. FILIACION'!B20</f>
        <v>0</v>
      </c>
      <c r="H29" s="120">
        <f>'CENTRAL 2'!F21</f>
        <v>0</v>
      </c>
    </row>
    <row r="30" spans="1:8" ht="12.9" customHeight="1" x14ac:dyDescent="0.3">
      <c r="E30" s="282"/>
      <c r="F30" s="283"/>
      <c r="G30" s="123">
        <f>'C. FILIACION'!B21</f>
        <v>0</v>
      </c>
      <c r="H30" s="120">
        <f>'CENTRAL 2'!F22</f>
        <v>0</v>
      </c>
    </row>
    <row r="31" spans="1:8" ht="12.9" customHeight="1" x14ac:dyDescent="0.3">
      <c r="E31" s="282"/>
      <c r="F31" s="283"/>
      <c r="G31" s="123">
        <f>'C. FILIACION'!B22</f>
        <v>0</v>
      </c>
      <c r="H31" s="120">
        <f>'CENTRAL 2'!F23</f>
        <v>0</v>
      </c>
    </row>
    <row r="32" spans="1:8" ht="12.9" customHeight="1" x14ac:dyDescent="0.3">
      <c r="E32" s="282"/>
      <c r="F32" s="283"/>
      <c r="G32" s="123">
        <f>'C. FILIACION'!B23</f>
        <v>0</v>
      </c>
      <c r="H32" s="120">
        <f>'CENTRAL 2'!F24</f>
        <v>0</v>
      </c>
    </row>
    <row r="33" spans="5:8" ht="12.9" customHeight="1" x14ac:dyDescent="0.3">
      <c r="E33" s="282"/>
      <c r="F33" s="283"/>
      <c r="G33" s="123">
        <f>'C. FILIACION'!B24</f>
        <v>0</v>
      </c>
      <c r="H33" s="120">
        <f>'CENTRAL 2'!F25</f>
        <v>0</v>
      </c>
    </row>
    <row r="34" spans="5:8" ht="12.9" customHeight="1" x14ac:dyDescent="0.3">
      <c r="E34" s="282"/>
      <c r="F34" s="283"/>
      <c r="G34" s="123">
        <f>'C. FILIACION'!B25</f>
        <v>0</v>
      </c>
      <c r="H34" s="120">
        <f>'CENTRAL 2'!F26</f>
        <v>0</v>
      </c>
    </row>
    <row r="35" spans="5:8" ht="12.9" customHeight="1" x14ac:dyDescent="0.3">
      <c r="E35" s="284"/>
      <c r="F35" s="285"/>
      <c r="G35" s="123">
        <f>'C. FILIACION'!B26</f>
        <v>0</v>
      </c>
      <c r="H35" s="120">
        <f>'CENTRAL 2'!F27</f>
        <v>0</v>
      </c>
    </row>
    <row r="36" spans="5:8" ht="12.9" customHeight="1" x14ac:dyDescent="0.3">
      <c r="E36" s="282"/>
      <c r="F36" s="283"/>
      <c r="G36" s="123">
        <f>'C. FILIACION'!B27</f>
        <v>0</v>
      </c>
      <c r="H36" s="120">
        <f>'CENTRAL 2'!F28</f>
        <v>0</v>
      </c>
    </row>
    <row r="37" spans="5:8" ht="12.9" customHeight="1" x14ac:dyDescent="0.3">
      <c r="E37" s="282"/>
      <c r="F37" s="283"/>
      <c r="G37" s="123">
        <f>'C. FILIACION'!B28</f>
        <v>0</v>
      </c>
      <c r="H37" s="120">
        <f>'CENTRAL 2'!F29</f>
        <v>0</v>
      </c>
    </row>
    <row r="38" spans="5:8" ht="12.9" customHeight="1" x14ac:dyDescent="0.3">
      <c r="E38" s="282"/>
      <c r="F38" s="283"/>
      <c r="G38" s="123">
        <f>'C. FILIACION'!B29</f>
        <v>0</v>
      </c>
      <c r="H38" s="120">
        <f>'CENTRAL 2'!F30</f>
        <v>0</v>
      </c>
    </row>
    <row r="39" spans="5:8" ht="12.9" customHeight="1" x14ac:dyDescent="0.3">
      <c r="E39" s="282"/>
      <c r="F39" s="283"/>
      <c r="G39" s="123">
        <f>'C. FILIACION'!B30</f>
        <v>0</v>
      </c>
      <c r="H39" s="120">
        <f>'CENTRAL 2'!F31</f>
        <v>0</v>
      </c>
    </row>
    <row r="40" spans="5:8" ht="12.9" customHeight="1" x14ac:dyDescent="0.3">
      <c r="E40" s="282"/>
      <c r="F40" s="283"/>
      <c r="G40" s="123">
        <f>'C. FILIACION'!B31</f>
        <v>0</v>
      </c>
      <c r="H40" s="120">
        <f>'CENTRAL 2'!F32</f>
        <v>0</v>
      </c>
    </row>
    <row r="41" spans="5:8" ht="12.9" customHeight="1" x14ac:dyDescent="0.3">
      <c r="E41" s="282"/>
      <c r="F41" s="283"/>
      <c r="G41" s="123">
        <f>'C. FILIACION'!B32</f>
        <v>0</v>
      </c>
      <c r="H41" s="120">
        <f>'CENTRAL 2'!F33</f>
        <v>0</v>
      </c>
    </row>
    <row r="42" spans="5:8" ht="12.9" customHeight="1" x14ac:dyDescent="0.3">
      <c r="E42" s="282"/>
      <c r="F42" s="283"/>
      <c r="G42" s="123">
        <f>'C. FILIACION'!B33</f>
        <v>0</v>
      </c>
      <c r="H42" s="120">
        <f>'CENTRAL 2'!F34</f>
        <v>0</v>
      </c>
    </row>
    <row r="43" spans="5:8" ht="12.9" customHeight="1" x14ac:dyDescent="0.3">
      <c r="E43" s="282"/>
      <c r="F43" s="283"/>
      <c r="G43" s="123">
        <f>'C. FILIACION'!B34</f>
        <v>0</v>
      </c>
      <c r="H43" s="120">
        <f>'CENTRAL 2'!F35</f>
        <v>0</v>
      </c>
    </row>
    <row r="44" spans="5:8" ht="12.9" customHeight="1" x14ac:dyDescent="0.3">
      <c r="E44" s="282"/>
      <c r="F44" s="283"/>
      <c r="G44" s="123">
        <f>'C. FILIACION'!B35</f>
        <v>0</v>
      </c>
      <c r="H44" s="120">
        <f>'CENTRAL 2'!F36</f>
        <v>0</v>
      </c>
    </row>
    <row r="45" spans="5:8" ht="12.9" customHeight="1" x14ac:dyDescent="0.3">
      <c r="E45" s="282"/>
      <c r="F45" s="283"/>
      <c r="G45" s="123">
        <f>'C. FILIACION'!B36</f>
        <v>0</v>
      </c>
      <c r="H45" s="120">
        <f>'CENTRAL 2'!F37</f>
        <v>0</v>
      </c>
    </row>
    <row r="46" spans="5:8" ht="12.9" customHeight="1" x14ac:dyDescent="0.3">
      <c r="E46" s="282"/>
      <c r="F46" s="283"/>
      <c r="G46" s="123">
        <f>'C. FILIACION'!B37</f>
        <v>0</v>
      </c>
      <c r="H46" s="120">
        <f>'CENTRAL 2'!F38</f>
        <v>0</v>
      </c>
    </row>
    <row r="47" spans="5:8" ht="12.9" customHeight="1" x14ac:dyDescent="0.3">
      <c r="E47" s="282"/>
      <c r="F47" s="283"/>
      <c r="G47" s="123">
        <f>'C. FILIACION'!B38</f>
        <v>0</v>
      </c>
      <c r="H47" s="120">
        <f>'CENTRAL 2'!F39</f>
        <v>0</v>
      </c>
    </row>
    <row r="48" spans="5:8" ht="12.9" customHeight="1" x14ac:dyDescent="0.3">
      <c r="E48" s="282"/>
      <c r="F48" s="283"/>
      <c r="G48" s="123">
        <f>'C. FILIACION'!B39</f>
        <v>0</v>
      </c>
      <c r="H48" s="120">
        <f>'CENTRAL 2'!F40</f>
        <v>0</v>
      </c>
    </row>
    <row r="49" spans="5:8" ht="12.9" customHeight="1" x14ac:dyDescent="0.3">
      <c r="E49" s="282"/>
      <c r="F49" s="283"/>
      <c r="G49" s="123">
        <f>'C. FILIACION'!B40</f>
        <v>0</v>
      </c>
      <c r="H49" s="120">
        <f>'CENTRAL 2'!F41</f>
        <v>0</v>
      </c>
    </row>
    <row r="50" spans="5:8" ht="12.9" customHeight="1" x14ac:dyDescent="0.3">
      <c r="E50" s="282"/>
      <c r="F50" s="283"/>
      <c r="G50" s="123">
        <f>'C. FILIACION'!B41</f>
        <v>0</v>
      </c>
      <c r="H50" s="120">
        <f>'CENTRAL 2'!F42</f>
        <v>0</v>
      </c>
    </row>
    <row r="51" spans="5:8" ht="12.9" customHeight="1" x14ac:dyDescent="0.3">
      <c r="E51" s="282"/>
      <c r="F51" s="283"/>
      <c r="G51" s="123">
        <f>'C. FILIACION'!B42</f>
        <v>0</v>
      </c>
      <c r="H51" s="120">
        <f>'CENTRAL 2'!F43</f>
        <v>0</v>
      </c>
    </row>
    <row r="52" spans="5:8" ht="12.9" customHeight="1" x14ac:dyDescent="0.3">
      <c r="E52" s="282"/>
      <c r="F52" s="283"/>
      <c r="G52" s="123">
        <f>'C. FILIACION'!B43</f>
        <v>0</v>
      </c>
      <c r="H52" s="120">
        <f>'CENTRAL 2'!F44</f>
        <v>0</v>
      </c>
    </row>
    <row r="53" spans="5:8" ht="12.9" customHeight="1" x14ac:dyDescent="0.3">
      <c r="E53" s="282"/>
      <c r="F53" s="283"/>
      <c r="G53" s="124"/>
      <c r="H53" s="121">
        <f>'CENTRAL 2'!F45</f>
        <v>0</v>
      </c>
    </row>
    <row r="54" spans="5:8" ht="12.9" customHeight="1" x14ac:dyDescent="0.3">
      <c r="E54" s="282"/>
      <c r="F54" s="283"/>
      <c r="G54" s="124"/>
      <c r="H54" s="121">
        <f>'CENTRAL 2'!F46</f>
        <v>0</v>
      </c>
    </row>
    <row r="55" spans="5:8" ht="12.9" customHeight="1" x14ac:dyDescent="0.3">
      <c r="E55" s="282"/>
      <c r="F55" s="283"/>
      <c r="G55" s="124"/>
      <c r="H55" s="121">
        <f>'CENTRAL 2'!F47</f>
        <v>0</v>
      </c>
    </row>
    <row r="56" spans="5:8" ht="12.9" customHeight="1" x14ac:dyDescent="0.3">
      <c r="E56" s="282"/>
      <c r="F56" s="283"/>
      <c r="G56" s="124"/>
      <c r="H56" s="121">
        <f>'CENTRAL 2'!F48</f>
        <v>0</v>
      </c>
    </row>
    <row r="57" spans="5:8" ht="12.9" customHeight="1" x14ac:dyDescent="0.3">
      <c r="E57" s="282"/>
      <c r="F57" s="283"/>
      <c r="G57" s="124"/>
      <c r="H57" s="121">
        <f>'CENTRAL 2'!F49</f>
        <v>0</v>
      </c>
    </row>
    <row r="58" spans="5:8" ht="12.9" customHeight="1" x14ac:dyDescent="0.3">
      <c r="E58" s="282"/>
      <c r="F58" s="283"/>
      <c r="G58" s="124"/>
      <c r="H58" s="121">
        <f>'CENTRAL 2'!F50</f>
        <v>0</v>
      </c>
    </row>
    <row r="59" spans="5:8" ht="12.9" customHeight="1" x14ac:dyDescent="0.3">
      <c r="E59" s="282"/>
      <c r="F59" s="283"/>
      <c r="G59" s="124"/>
      <c r="H59" s="121">
        <f>'CENTRAL 2'!F51</f>
        <v>0</v>
      </c>
    </row>
    <row r="60" spans="5:8" ht="12.9" customHeight="1" thickBot="1" x14ac:dyDescent="0.35">
      <c r="E60" s="280"/>
      <c r="F60" s="281"/>
      <c r="G60" s="125"/>
      <c r="H60" s="122">
        <f>'CENTRAL 2'!F52</f>
        <v>0</v>
      </c>
    </row>
    <row r="61" spans="5:8" ht="12.9" customHeight="1" x14ac:dyDescent="0.3"/>
  </sheetData>
  <sheetProtection algorithmName="SHA-512" hashValue="qFtVM8DyoKhQZUd5tY77t0FV2nUN7Xe17DW0M+6LDENLH8o310Hi0rIzKWhS6u9p+pbt59LrE158Mbq6DVhFkQ==" saltValue="6PiibqhbBvFNJ/mFZEVUkw==" spinCount="100000" sheet="1" objects="1" scenarios="1"/>
  <autoFilter ref="E16:H60" xr:uid="{00000000-0009-0000-0000-00000F000000}">
    <filterColumn colId="0" showButton="0"/>
    <sortState xmlns:xlrd2="http://schemas.microsoft.com/office/spreadsheetml/2017/richdata2" ref="E17:H60">
      <sortCondition descending="1" ref="H16:H61"/>
    </sortState>
  </autoFilter>
  <mergeCells count="46">
    <mergeCell ref="E16:F16"/>
    <mergeCell ref="E17:F17"/>
    <mergeCell ref="E3:I3"/>
    <mergeCell ref="E29:F29"/>
    <mergeCell ref="E18:F18"/>
    <mergeCell ref="E19:F19"/>
    <mergeCell ref="E20:F20"/>
    <mergeCell ref="E21:F21"/>
    <mergeCell ref="E22:F22"/>
    <mergeCell ref="E23:F23"/>
    <mergeCell ref="E24:F24"/>
    <mergeCell ref="E25:F25"/>
    <mergeCell ref="E26:F26"/>
    <mergeCell ref="E27:F27"/>
    <mergeCell ref="E28:F28"/>
    <mergeCell ref="E41:F41"/>
    <mergeCell ref="E30:F30"/>
    <mergeCell ref="E31:F31"/>
    <mergeCell ref="E32:F32"/>
    <mergeCell ref="E33:F33"/>
    <mergeCell ref="E34:F34"/>
    <mergeCell ref="E35:F35"/>
    <mergeCell ref="E36:F36"/>
    <mergeCell ref="E37:F37"/>
    <mergeCell ref="E38:F38"/>
    <mergeCell ref="E39:F39"/>
    <mergeCell ref="E40:F40"/>
    <mergeCell ref="E53:F53"/>
    <mergeCell ref="E42:F42"/>
    <mergeCell ref="E43:F43"/>
    <mergeCell ref="E44:F44"/>
    <mergeCell ref="E45:F45"/>
    <mergeCell ref="E46:F46"/>
    <mergeCell ref="E47:F47"/>
    <mergeCell ref="E48:F48"/>
    <mergeCell ref="E49:F49"/>
    <mergeCell ref="E50:F50"/>
    <mergeCell ref="E51:F51"/>
    <mergeCell ref="E52:F52"/>
    <mergeCell ref="E60:F60"/>
    <mergeCell ref="E54:F54"/>
    <mergeCell ref="E55:F55"/>
    <mergeCell ref="E56:F56"/>
    <mergeCell ref="E57:F57"/>
    <mergeCell ref="E58:F58"/>
    <mergeCell ref="E59:F59"/>
  </mergeCells>
  <pageMargins left="0" right="0" top="0" bottom="0" header="0" footer="0.31496062992125984"/>
  <pageSetup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Botón2_Haga_clic_en">
                <anchor>
                  <from>
                    <xdr:col>9</xdr:col>
                    <xdr:colOff>45720</xdr:colOff>
                    <xdr:row>14</xdr:row>
                    <xdr:rowOff>83820</xdr:rowOff>
                  </from>
                  <to>
                    <xdr:col>9</xdr:col>
                    <xdr:colOff>1089660</xdr:colOff>
                    <xdr:row>16</xdr:row>
                    <xdr:rowOff>144780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11">
    <tabColor theme="5" tint="-0.499984740745262"/>
  </sheetPr>
  <dimension ref="B2:N38"/>
  <sheetViews>
    <sheetView topLeftCell="A4" zoomScale="120" zoomScaleNormal="120" workbookViewId="0">
      <selection activeCell="N6" sqref="N6"/>
    </sheetView>
  </sheetViews>
  <sheetFormatPr baseColWidth="10" defaultColWidth="5.640625" defaultRowHeight="14.1" customHeight="1" x14ac:dyDescent="0.3"/>
  <cols>
    <col min="1" max="1" width="1.640625" style="1" customWidth="1"/>
    <col min="2" max="2" width="4.5703125" style="1" customWidth="1"/>
    <col min="3" max="3" width="5.640625" style="1"/>
    <col min="4" max="4" width="5" style="1" customWidth="1"/>
    <col min="5" max="5" width="5.640625" style="1"/>
    <col min="6" max="6" width="1" style="1" customWidth="1"/>
    <col min="7" max="7" width="5.7109375" style="1" customWidth="1"/>
    <col min="8" max="9" width="5.640625" style="1"/>
    <col min="10" max="10" width="6.640625" style="1" customWidth="1"/>
    <col min="11" max="11" width="7.92578125" style="1" customWidth="1"/>
    <col min="12" max="16384" width="5.640625" style="1"/>
  </cols>
  <sheetData>
    <row r="2" spans="2:14" ht="14.1" customHeight="1" x14ac:dyDescent="0.3">
      <c r="C2" s="198" t="s">
        <v>60</v>
      </c>
      <c r="D2" s="198"/>
      <c r="E2" s="198"/>
      <c r="F2" s="198"/>
      <c r="G2" s="198"/>
      <c r="H2" s="198"/>
      <c r="I2" s="198"/>
      <c r="J2" s="198"/>
      <c r="K2" s="198"/>
      <c r="L2" s="198"/>
      <c r="M2" s="198"/>
    </row>
    <row r="3" spans="2:14" ht="14.1" customHeight="1" x14ac:dyDescent="0.3">
      <c r="B3" s="14" t="s">
        <v>3</v>
      </c>
      <c r="E3" s="29">
        <f>CARÁTULA!$C$15</f>
        <v>0</v>
      </c>
      <c r="F3" s="29"/>
      <c r="G3" s="29"/>
      <c r="H3" s="29"/>
      <c r="J3" s="27" t="s">
        <v>8</v>
      </c>
      <c r="K3" s="77">
        <f>CARÁTULA!$C$25</f>
        <v>0</v>
      </c>
      <c r="L3" s="77"/>
      <c r="M3" s="77"/>
      <c r="N3" s="77"/>
    </row>
    <row r="4" spans="2:14" ht="14.1" customHeight="1" x14ac:dyDescent="0.3">
      <c r="B4" s="49" t="s">
        <v>6</v>
      </c>
      <c r="E4" s="29">
        <f>CARÁTULA!$C$21</f>
        <v>0</v>
      </c>
      <c r="F4" s="29"/>
      <c r="G4" s="29"/>
      <c r="H4" s="29"/>
      <c r="J4" s="27" t="s">
        <v>26</v>
      </c>
      <c r="K4" s="77">
        <f>CARÁTULA!$C$19</f>
        <v>0</v>
      </c>
      <c r="L4" s="77"/>
      <c r="M4" s="77"/>
      <c r="N4" s="77"/>
    </row>
    <row r="5" spans="2:14" ht="14.1" customHeight="1" x14ac:dyDescent="0.3">
      <c r="B5" s="49" t="s">
        <v>17</v>
      </c>
      <c r="E5" s="29">
        <f>CARÁTULA!$C$23</f>
        <v>0</v>
      </c>
      <c r="F5" s="29"/>
      <c r="G5" s="29"/>
      <c r="H5" s="29"/>
      <c r="J5" s="27" t="s">
        <v>19</v>
      </c>
      <c r="K5" s="78">
        <f ca="1">TODAY()</f>
        <v>44596</v>
      </c>
      <c r="L5" s="77"/>
      <c r="M5" s="77"/>
      <c r="N5" s="77"/>
    </row>
    <row r="6" spans="2:14" ht="14.1" customHeight="1" x14ac:dyDescent="0.3">
      <c r="B6" s="76"/>
    </row>
    <row r="7" spans="2:14" ht="14.1" customHeight="1" x14ac:dyDescent="0.3">
      <c r="B7" s="76"/>
    </row>
    <row r="10" spans="2:14" ht="14.1" customHeight="1" x14ac:dyDescent="0.3">
      <c r="C10" s="275" t="s">
        <v>53</v>
      </c>
      <c r="D10" s="275"/>
      <c r="E10" s="64"/>
      <c r="G10" s="27" t="s">
        <v>55</v>
      </c>
    </row>
    <row r="11" spans="2:14" ht="14.1" customHeight="1" x14ac:dyDescent="0.3">
      <c r="C11" s="67" t="s">
        <v>51</v>
      </c>
      <c r="E11" s="69">
        <f>'CENTRAL 2'!$I$9</f>
        <v>1</v>
      </c>
      <c r="F11" s="64"/>
      <c r="G11" s="75">
        <f>E11/$E$13</f>
        <v>2.7777777777777776E-2</v>
      </c>
      <c r="H11" s="71"/>
    </row>
    <row r="12" spans="2:14" ht="14.1" customHeight="1" x14ac:dyDescent="0.3">
      <c r="C12" s="46" t="s">
        <v>52</v>
      </c>
      <c r="E12" s="70">
        <f>'CENTRAL 2'!$I$13</f>
        <v>35</v>
      </c>
      <c r="F12" s="64"/>
      <c r="G12" s="75">
        <f>E12/$E$13</f>
        <v>0.97222222222222221</v>
      </c>
      <c r="H12" s="71"/>
    </row>
    <row r="13" spans="2:14" ht="14.1" customHeight="1" x14ac:dyDescent="0.3">
      <c r="C13" s="3" t="s">
        <v>56</v>
      </c>
      <c r="D13" s="68"/>
      <c r="E13" s="72">
        <f>SUM(E11:E12)</f>
        <v>36</v>
      </c>
      <c r="F13" s="3"/>
      <c r="G13" s="73">
        <f>SUM(G11:G12)</f>
        <v>1</v>
      </c>
      <c r="H13" s="3"/>
    </row>
    <row r="14" spans="2:14" ht="14.1" customHeight="1" x14ac:dyDescent="0.3">
      <c r="C14" s="3"/>
      <c r="D14" s="66"/>
      <c r="E14" s="66"/>
      <c r="F14" s="66"/>
      <c r="G14" s="66"/>
      <c r="H14" s="3"/>
    </row>
    <row r="15" spans="2:14" ht="14.1" customHeight="1" x14ac:dyDescent="0.3">
      <c r="C15" s="3"/>
      <c r="D15" s="3"/>
      <c r="E15" s="3"/>
      <c r="F15" s="3"/>
      <c r="G15" s="3"/>
      <c r="H15" s="3"/>
    </row>
    <row r="16" spans="2:14" ht="14.1" customHeight="1" x14ac:dyDescent="0.3">
      <c r="C16" s="3"/>
      <c r="D16" s="3"/>
      <c r="E16" s="3"/>
      <c r="F16" s="3"/>
      <c r="G16" s="3"/>
      <c r="H16" s="3"/>
    </row>
    <row r="23" spans="3:7" ht="14.1" customHeight="1" x14ac:dyDescent="0.3">
      <c r="C23" s="275" t="s">
        <v>54</v>
      </c>
      <c r="D23" s="275"/>
      <c r="G23" s="27" t="s">
        <v>59</v>
      </c>
    </row>
    <row r="24" spans="3:7" ht="14.1" customHeight="1" x14ac:dyDescent="0.3">
      <c r="C24" s="67" t="s">
        <v>51</v>
      </c>
      <c r="E24" s="69">
        <f>'CENTRAL 2'!$J$9</f>
        <v>1</v>
      </c>
      <c r="F24" s="29"/>
      <c r="G24" s="75">
        <f>E24/$E$26</f>
        <v>2.7777777777777776E-2</v>
      </c>
    </row>
    <row r="25" spans="3:7" ht="14.1" customHeight="1" x14ac:dyDescent="0.3">
      <c r="C25" s="46" t="s">
        <v>52</v>
      </c>
      <c r="E25" s="70">
        <f>'CENTRAL 2'!$J$13</f>
        <v>35</v>
      </c>
      <c r="F25" s="29"/>
      <c r="G25" s="75">
        <f>E25/$E$26</f>
        <v>0.97222222222222221</v>
      </c>
    </row>
    <row r="26" spans="3:7" ht="14.1" customHeight="1" x14ac:dyDescent="0.3">
      <c r="C26" s="1" t="s">
        <v>56</v>
      </c>
      <c r="E26" s="72">
        <f>SUM(E24:E25)</f>
        <v>36</v>
      </c>
      <c r="F26" s="29"/>
      <c r="G26" s="75">
        <f>SUM(G24:G25)</f>
        <v>1</v>
      </c>
    </row>
    <row r="35" spans="3:7" ht="14.1" customHeight="1" x14ac:dyDescent="0.3">
      <c r="C35" s="275" t="s">
        <v>57</v>
      </c>
      <c r="D35" s="275"/>
      <c r="G35" s="49" t="s">
        <v>58</v>
      </c>
    </row>
    <row r="36" spans="3:7" ht="14.1" customHeight="1" x14ac:dyDescent="0.3">
      <c r="C36" s="67" t="s">
        <v>51</v>
      </c>
      <c r="E36" s="69">
        <f>'CENTRAL 2'!$K$9</f>
        <v>1</v>
      </c>
      <c r="F36" s="29"/>
      <c r="G36" s="75">
        <f>E36/$E$26</f>
        <v>2.7777777777777776E-2</v>
      </c>
    </row>
    <row r="37" spans="3:7" ht="14.1" customHeight="1" x14ac:dyDescent="0.3">
      <c r="C37" s="46" t="s">
        <v>52</v>
      </c>
      <c r="E37" s="70">
        <f>'CENTRAL 2'!$K$13</f>
        <v>35</v>
      </c>
      <c r="F37" s="29"/>
      <c r="G37" s="75">
        <f>E37/$E$26</f>
        <v>0.97222222222222221</v>
      </c>
    </row>
    <row r="38" spans="3:7" ht="14.1" customHeight="1" x14ac:dyDescent="0.3">
      <c r="C38" s="1" t="s">
        <v>56</v>
      </c>
      <c r="E38" s="72">
        <f>SUM(E36:E37)</f>
        <v>36</v>
      </c>
      <c r="F38" s="29"/>
      <c r="G38" s="73">
        <f>SUM(G36:G37)</f>
        <v>1</v>
      </c>
    </row>
  </sheetData>
  <sheetProtection algorithmName="SHA-512" hashValue="lm2hZlJx+x3jDiHjER1Nn3wRpylW/pCuplTPgECL9Xf1iMEGr8JdduhGofDKua70Na0q6iEI1c1738C8MYJ9Og==" saltValue="Gm8GGquYn/LJ9EM5Wzd4FA==" spinCount="100000" sheet="1" objects="1" scenarios="1"/>
  <mergeCells count="4">
    <mergeCell ref="C10:D10"/>
    <mergeCell ref="C23:D23"/>
    <mergeCell ref="C35:D35"/>
    <mergeCell ref="C2:M2"/>
  </mergeCells>
  <pageMargins left="0" right="0" top="0" bottom="0" header="0.31496062992125984" footer="0.31496062992125984"/>
  <pageSetup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Botón2_Haga_clic_en">
                <anchor>
                  <from>
                    <xdr:col>12</xdr:col>
                    <xdr:colOff>22860</xdr:colOff>
                    <xdr:row>2</xdr:row>
                    <xdr:rowOff>175260</xdr:rowOff>
                  </from>
                  <to>
                    <xdr:col>13</xdr:col>
                    <xdr:colOff>464820</xdr:colOff>
                    <xdr:row>4</xdr:row>
                    <xdr:rowOff>160020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16</vt:i4>
      </vt:variant>
      <vt:variant>
        <vt:lpstr>Rangos con nombre</vt:lpstr>
      </vt:variant>
      <vt:variant>
        <vt:i4>8</vt:i4>
      </vt:variant>
    </vt:vector>
  </HeadingPairs>
  <TitlesOfParts>
    <vt:vector size="24" baseType="lpstr">
      <vt:lpstr>CARÁTULA</vt:lpstr>
      <vt:lpstr>C. FILIACION</vt:lpstr>
      <vt:lpstr>ASIS 1 TRIM</vt:lpstr>
      <vt:lpstr>ASIS 2 TRIM</vt:lpstr>
      <vt:lpstr>ASIS 3 TRIM</vt:lpstr>
      <vt:lpstr>VAL 1 TRIM </vt:lpstr>
      <vt:lpstr>VAL 2 TRIM</vt:lpstr>
      <vt:lpstr>VAL 3 TRIM</vt:lpstr>
      <vt:lpstr>CENTRAL 1</vt:lpstr>
      <vt:lpstr>CENTRAL 2</vt:lpstr>
      <vt:lpstr>DIMEN 1</vt:lpstr>
      <vt:lpstr>DIMEN 2</vt:lpstr>
      <vt:lpstr>DIMEN 3</vt:lpstr>
      <vt:lpstr>AVANCE</vt:lpstr>
      <vt:lpstr>EST_DEST</vt:lpstr>
      <vt:lpstr>ESTADIST</vt:lpstr>
      <vt:lpstr>'ASIS 1 TRIM'!Área_de_impresión</vt:lpstr>
      <vt:lpstr>'ASIS 2 TRIM'!Área_de_impresión</vt:lpstr>
      <vt:lpstr>'ASIS 3 TRIM'!Área_de_impresión</vt:lpstr>
      <vt:lpstr>'CENTRAL 1'!Área_de_impresión</vt:lpstr>
      <vt:lpstr>'CENTRAL 2'!Área_de_impresión</vt:lpstr>
      <vt:lpstr>'VAL 1 TRIM '!Área_de_impresión</vt:lpstr>
      <vt:lpstr>'VAL 2 TRIM'!Área_de_impresión</vt:lpstr>
      <vt:lpstr>'VAL 3 TRIM'!Área_de_impresión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Jorge Aquin</dc:creator>
  <cp:lastModifiedBy>Luis</cp:lastModifiedBy>
  <cp:lastPrinted>2021-01-25T14:58:55Z</cp:lastPrinted>
  <dcterms:created xsi:type="dcterms:W3CDTF">2020-01-23T13:58:13Z</dcterms:created>
  <dcterms:modified xsi:type="dcterms:W3CDTF">2022-02-05T01:46:07Z</dcterms:modified>
</cp:coreProperties>
</file>