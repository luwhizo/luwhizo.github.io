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ebf6f0494ef1cb/Escritorio/REGISTRO  PEDAG_SEC_2021/"/>
    </mc:Choice>
  </mc:AlternateContent>
  <xr:revisionPtr revIDLastSave="513" documentId="8_{13BF187A-69EA-4CF3-BA41-A36B0FB23477}" xr6:coauthVersionLast="46" xr6:coauthVersionMax="46" xr10:uidLastSave="{74794316-30A7-4AEC-AEFF-FD56B4946A46}"/>
  <workbookProtection workbookAlgorithmName="SHA-512" workbookHashValue="PpmR1HNSaSrv8IKZb3F17AaBB3OWHE9dHOAwKsu+FzKOBhq+72SEo41x3Myg5E3N0BS65uYGQ+JFJI2m0ZIeSQ==" workbookSaltValue="oq6xuHJyUXD99zWhAxeKsg==" workbookSpinCount="100000" lockStructure="1"/>
  <bookViews>
    <workbookView xWindow="-120" yWindow="-120" windowWidth="17520" windowHeight="12480" xr2:uid="{078A4050-6903-453B-B6DB-91827090DE2B}"/>
  </bookViews>
  <sheets>
    <sheet name="CARÁTULA" sheetId="1" r:id="rId1"/>
    <sheet name="FILIACIÓN" sheetId="2" r:id="rId2"/>
    <sheet name="ASIST FEB" sheetId="3" r:id="rId3"/>
    <sheet name="ASIST MAR" sheetId="4" r:id="rId4"/>
    <sheet name="ASIST ABR" sheetId="5" r:id="rId5"/>
    <sheet name="ASIST MAY" sheetId="6" r:id="rId6"/>
    <sheet name="ASIST JUN" sheetId="7" r:id="rId7"/>
    <sheet name="1er SEM" sheetId="8" r:id="rId8"/>
    <sheet name="ASIST JUL " sheetId="9" r:id="rId9"/>
    <sheet name="ASIST AGO" sheetId="10" r:id="rId10"/>
    <sheet name="ASIST SEPT" sheetId="11" r:id="rId11"/>
    <sheet name="ASIST OCT" sheetId="12" r:id="rId12"/>
    <sheet name="ASIST NOV" sheetId="13" r:id="rId13"/>
    <sheet name="2DO SEM " sheetId="14" r:id="rId14"/>
    <sheet name="CENTRALIZ" sheetId="15" r:id="rId15"/>
    <sheet name="EST_DEST" sheetId="16" r:id="rId16"/>
  </sheets>
  <definedNames>
    <definedName name="_xlnm._FilterDatabase" localSheetId="15" hidden="1">EST_DEST!$G$16:$H$16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6" l="1"/>
  <c r="G18" i="16"/>
  <c r="G19" i="16"/>
  <c r="G20" i="16"/>
  <c r="G21" i="16"/>
  <c r="G22" i="16"/>
  <c r="G23" i="16"/>
  <c r="G50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51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H13" i="16"/>
  <c r="F14" i="16"/>
  <c r="F13" i="16"/>
  <c r="F12" i="16"/>
  <c r="H17" i="16"/>
  <c r="H18" i="16"/>
  <c r="H19" i="16"/>
  <c r="H20" i="16"/>
  <c r="H21" i="16"/>
  <c r="H22" i="16"/>
  <c r="H23" i="16"/>
  <c r="H50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51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9" i="15"/>
  <c r="F9" i="14"/>
  <c r="F4" i="15"/>
  <c r="C6" i="15"/>
  <c r="C5" i="15"/>
  <c r="C4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W43" i="14"/>
  <c r="X43" i="14" s="1"/>
  <c r="S43" i="14"/>
  <c r="O43" i="14"/>
  <c r="K43" i="14"/>
  <c r="F43" i="14"/>
  <c r="Z43" i="14" s="1"/>
  <c r="AA43" i="14" s="1"/>
  <c r="B43" i="14"/>
  <c r="X42" i="14"/>
  <c r="W42" i="14"/>
  <c r="S42" i="14"/>
  <c r="O42" i="14"/>
  <c r="K42" i="14"/>
  <c r="Z42" i="14" s="1"/>
  <c r="AA42" i="14" s="1"/>
  <c r="F42" i="14"/>
  <c r="B42" i="14"/>
  <c r="W41" i="14"/>
  <c r="S41" i="14"/>
  <c r="X41" i="14" s="1"/>
  <c r="O41" i="14"/>
  <c r="Z41" i="14" s="1"/>
  <c r="AA41" i="14" s="1"/>
  <c r="K41" i="14"/>
  <c r="F41" i="14"/>
  <c r="B41" i="14"/>
  <c r="W40" i="14"/>
  <c r="S40" i="14"/>
  <c r="X40" i="14" s="1"/>
  <c r="O40" i="14"/>
  <c r="K40" i="14"/>
  <c r="F40" i="14"/>
  <c r="Z40" i="14" s="1"/>
  <c r="AA40" i="14" s="1"/>
  <c r="B40" i="14"/>
  <c r="W39" i="14"/>
  <c r="X39" i="14" s="1"/>
  <c r="S39" i="14"/>
  <c r="O39" i="14"/>
  <c r="K39" i="14"/>
  <c r="F39" i="14"/>
  <c r="Z39" i="14" s="1"/>
  <c r="AA39" i="14" s="1"/>
  <c r="B39" i="14"/>
  <c r="X38" i="14"/>
  <c r="W38" i="14"/>
  <c r="S38" i="14"/>
  <c r="O38" i="14"/>
  <c r="K38" i="14"/>
  <c r="Z38" i="14" s="1"/>
  <c r="AA38" i="14" s="1"/>
  <c r="F38" i="14"/>
  <c r="B38" i="14"/>
  <c r="W37" i="14"/>
  <c r="S37" i="14"/>
  <c r="X37" i="14" s="1"/>
  <c r="O37" i="14"/>
  <c r="Z37" i="14" s="1"/>
  <c r="AA37" i="14" s="1"/>
  <c r="K37" i="14"/>
  <c r="F37" i="14"/>
  <c r="B37" i="14"/>
  <c r="W36" i="14"/>
  <c r="S36" i="14"/>
  <c r="X36" i="14" s="1"/>
  <c r="O36" i="14"/>
  <c r="K36" i="14"/>
  <c r="F36" i="14"/>
  <c r="Z36" i="14" s="1"/>
  <c r="AA36" i="14" s="1"/>
  <c r="B36" i="14"/>
  <c r="W35" i="14"/>
  <c r="X35" i="14" s="1"/>
  <c r="S35" i="14"/>
  <c r="O35" i="14"/>
  <c r="K35" i="14"/>
  <c r="F35" i="14"/>
  <c r="Z35" i="14" s="1"/>
  <c r="AA35" i="14" s="1"/>
  <c r="B35" i="14"/>
  <c r="X34" i="14"/>
  <c r="W34" i="14"/>
  <c r="S34" i="14"/>
  <c r="O34" i="14"/>
  <c r="K34" i="14"/>
  <c r="Z34" i="14" s="1"/>
  <c r="AA34" i="14" s="1"/>
  <c r="F34" i="14"/>
  <c r="B34" i="14"/>
  <c r="W33" i="14"/>
  <c r="S33" i="14"/>
  <c r="X33" i="14" s="1"/>
  <c r="O33" i="14"/>
  <c r="Z33" i="14" s="1"/>
  <c r="AA33" i="14" s="1"/>
  <c r="K33" i="14"/>
  <c r="F33" i="14"/>
  <c r="B33" i="14"/>
  <c r="W32" i="14"/>
  <c r="S32" i="14"/>
  <c r="X32" i="14" s="1"/>
  <c r="O32" i="14"/>
  <c r="K32" i="14"/>
  <c r="F32" i="14"/>
  <c r="Z32" i="14" s="1"/>
  <c r="AA32" i="14" s="1"/>
  <c r="B32" i="14"/>
  <c r="W31" i="14"/>
  <c r="X31" i="14" s="1"/>
  <c r="S31" i="14"/>
  <c r="O31" i="14"/>
  <c r="K31" i="14"/>
  <c r="F31" i="14"/>
  <c r="Z31" i="14" s="1"/>
  <c r="AA31" i="14" s="1"/>
  <c r="B31" i="14"/>
  <c r="X30" i="14"/>
  <c r="W30" i="14"/>
  <c r="S30" i="14"/>
  <c r="O30" i="14"/>
  <c r="K30" i="14"/>
  <c r="Z30" i="14" s="1"/>
  <c r="AA30" i="14" s="1"/>
  <c r="F30" i="14"/>
  <c r="B30" i="14"/>
  <c r="W29" i="14"/>
  <c r="S29" i="14"/>
  <c r="X29" i="14" s="1"/>
  <c r="O29" i="14"/>
  <c r="Z29" i="14" s="1"/>
  <c r="AA29" i="14" s="1"/>
  <c r="K29" i="14"/>
  <c r="F29" i="14"/>
  <c r="B29" i="14"/>
  <c r="W28" i="14"/>
  <c r="S28" i="14"/>
  <c r="X28" i="14" s="1"/>
  <c r="O28" i="14"/>
  <c r="K28" i="14"/>
  <c r="F28" i="14"/>
  <c r="Z28" i="14" s="1"/>
  <c r="AA28" i="14" s="1"/>
  <c r="B28" i="14"/>
  <c r="W27" i="14"/>
  <c r="X27" i="14" s="1"/>
  <c r="S27" i="14"/>
  <c r="O27" i="14"/>
  <c r="K27" i="14"/>
  <c r="F27" i="14"/>
  <c r="Z27" i="14" s="1"/>
  <c r="AA27" i="14" s="1"/>
  <c r="B27" i="14"/>
  <c r="X26" i="14"/>
  <c r="W26" i="14"/>
  <c r="S26" i="14"/>
  <c r="O26" i="14"/>
  <c r="K26" i="14"/>
  <c r="Z26" i="14" s="1"/>
  <c r="AA26" i="14" s="1"/>
  <c r="F26" i="14"/>
  <c r="B26" i="14"/>
  <c r="W25" i="14"/>
  <c r="S25" i="14"/>
  <c r="X25" i="14" s="1"/>
  <c r="O25" i="14"/>
  <c r="Z25" i="14" s="1"/>
  <c r="AA25" i="14" s="1"/>
  <c r="K25" i="14"/>
  <c r="F25" i="14"/>
  <c r="B25" i="14"/>
  <c r="W24" i="14"/>
  <c r="S24" i="14"/>
  <c r="X24" i="14" s="1"/>
  <c r="O24" i="14"/>
  <c r="K24" i="14"/>
  <c r="F24" i="14"/>
  <c r="Z24" i="14" s="1"/>
  <c r="AA24" i="14" s="1"/>
  <c r="B24" i="14"/>
  <c r="W23" i="14"/>
  <c r="X23" i="14" s="1"/>
  <c r="S23" i="14"/>
  <c r="O23" i="14"/>
  <c r="K23" i="14"/>
  <c r="F23" i="14"/>
  <c r="Z23" i="14" s="1"/>
  <c r="AA23" i="14" s="1"/>
  <c r="B23" i="14"/>
  <c r="X22" i="14"/>
  <c r="W22" i="14"/>
  <c r="S22" i="14"/>
  <c r="O22" i="14"/>
  <c r="K22" i="14"/>
  <c r="Z22" i="14" s="1"/>
  <c r="AA22" i="14" s="1"/>
  <c r="F22" i="14"/>
  <c r="B22" i="14"/>
  <c r="W21" i="14"/>
  <c r="S21" i="14"/>
  <c r="X21" i="14" s="1"/>
  <c r="O21" i="14"/>
  <c r="Z21" i="14" s="1"/>
  <c r="AA21" i="14" s="1"/>
  <c r="K21" i="14"/>
  <c r="F21" i="14"/>
  <c r="B21" i="14"/>
  <c r="W20" i="14"/>
  <c r="S20" i="14"/>
  <c r="X20" i="14" s="1"/>
  <c r="O20" i="14"/>
  <c r="K20" i="14"/>
  <c r="F20" i="14"/>
  <c r="Z20" i="14" s="1"/>
  <c r="AA20" i="14" s="1"/>
  <c r="B20" i="14"/>
  <c r="W19" i="14"/>
  <c r="X19" i="14" s="1"/>
  <c r="S19" i="14"/>
  <c r="O19" i="14"/>
  <c r="K19" i="14"/>
  <c r="F19" i="14"/>
  <c r="Z19" i="14" s="1"/>
  <c r="AA19" i="14" s="1"/>
  <c r="B19" i="14"/>
  <c r="X18" i="14"/>
  <c r="W18" i="14"/>
  <c r="S18" i="14"/>
  <c r="O18" i="14"/>
  <c r="K18" i="14"/>
  <c r="Z18" i="14" s="1"/>
  <c r="AA18" i="14" s="1"/>
  <c r="F18" i="14"/>
  <c r="B18" i="14"/>
  <c r="W17" i="14"/>
  <c r="S17" i="14"/>
  <c r="X17" i="14" s="1"/>
  <c r="O17" i="14"/>
  <c r="Z17" i="14" s="1"/>
  <c r="AA17" i="14" s="1"/>
  <c r="K17" i="14"/>
  <c r="F17" i="14"/>
  <c r="B17" i="14"/>
  <c r="W16" i="14"/>
  <c r="S16" i="14"/>
  <c r="X16" i="14" s="1"/>
  <c r="O16" i="14"/>
  <c r="K16" i="14"/>
  <c r="F16" i="14"/>
  <c r="Z16" i="14" s="1"/>
  <c r="AA16" i="14" s="1"/>
  <c r="B16" i="14"/>
  <c r="W15" i="14"/>
  <c r="X15" i="14" s="1"/>
  <c r="S15" i="14"/>
  <c r="O15" i="14"/>
  <c r="K15" i="14"/>
  <c r="F15" i="14"/>
  <c r="Z15" i="14" s="1"/>
  <c r="AA15" i="14" s="1"/>
  <c r="B15" i="14"/>
  <c r="X14" i="14"/>
  <c r="W14" i="14"/>
  <c r="S14" i="14"/>
  <c r="O14" i="14"/>
  <c r="K14" i="14"/>
  <c r="Z14" i="14" s="1"/>
  <c r="AA14" i="14" s="1"/>
  <c r="F14" i="14"/>
  <c r="B14" i="14"/>
  <c r="W13" i="14"/>
  <c r="S13" i="14"/>
  <c r="X13" i="14" s="1"/>
  <c r="O13" i="14"/>
  <c r="Z13" i="14" s="1"/>
  <c r="AA13" i="14" s="1"/>
  <c r="K13" i="14"/>
  <c r="F13" i="14"/>
  <c r="B13" i="14"/>
  <c r="W12" i="14"/>
  <c r="S12" i="14"/>
  <c r="X12" i="14" s="1"/>
  <c r="O12" i="14"/>
  <c r="K12" i="14"/>
  <c r="F12" i="14"/>
  <c r="Z12" i="14" s="1"/>
  <c r="AA12" i="14" s="1"/>
  <c r="B12" i="14"/>
  <c r="W11" i="14"/>
  <c r="X11" i="14" s="1"/>
  <c r="S11" i="14"/>
  <c r="O11" i="14"/>
  <c r="K11" i="14"/>
  <c r="F11" i="14"/>
  <c r="Z11" i="14" s="1"/>
  <c r="AA11" i="14" s="1"/>
  <c r="B11" i="14"/>
  <c r="X10" i="14"/>
  <c r="W10" i="14"/>
  <c r="S10" i="14"/>
  <c r="O10" i="14"/>
  <c r="K10" i="14"/>
  <c r="Z10" i="14" s="1"/>
  <c r="AA10" i="14" s="1"/>
  <c r="F10" i="14"/>
  <c r="B10" i="14"/>
  <c r="W9" i="14"/>
  <c r="S9" i="14"/>
  <c r="X9" i="14" s="1"/>
  <c r="O9" i="14"/>
  <c r="Z9" i="14" s="1"/>
  <c r="AA9" i="14" s="1"/>
  <c r="K9" i="14"/>
  <c r="B9" i="14"/>
  <c r="C5" i="14"/>
  <c r="C4" i="14"/>
  <c r="T3" i="14"/>
  <c r="C3" i="14"/>
  <c r="AG42" i="13"/>
  <c r="AF42" i="13"/>
  <c r="AE42" i="13"/>
  <c r="AD42" i="13"/>
  <c r="AH42" i="13" s="1"/>
  <c r="B42" i="13"/>
  <c r="AG41" i="13"/>
  <c r="AF41" i="13"/>
  <c r="AE41" i="13"/>
  <c r="AD41" i="13"/>
  <c r="AH41" i="13" s="1"/>
  <c r="B41" i="13"/>
  <c r="AG40" i="13"/>
  <c r="AF40" i="13"/>
  <c r="AE40" i="13"/>
  <c r="AD40" i="13"/>
  <c r="AH40" i="13" s="1"/>
  <c r="B40" i="13"/>
  <c r="AG39" i="13"/>
  <c r="AF39" i="13"/>
  <c r="AE39" i="13"/>
  <c r="AD39" i="13"/>
  <c r="AH39" i="13" s="1"/>
  <c r="B39" i="13"/>
  <c r="AG38" i="13"/>
  <c r="AF38" i="13"/>
  <c r="AE38" i="13"/>
  <c r="AD38" i="13"/>
  <c r="AH38" i="13" s="1"/>
  <c r="B38" i="13"/>
  <c r="AG37" i="13"/>
  <c r="AF37" i="13"/>
  <c r="AE37" i="13"/>
  <c r="AD37" i="13"/>
  <c r="AH37" i="13" s="1"/>
  <c r="B37" i="13"/>
  <c r="AG36" i="13"/>
  <c r="AF36" i="13"/>
  <c r="AE36" i="13"/>
  <c r="AD36" i="13"/>
  <c r="AH36" i="13" s="1"/>
  <c r="B36" i="13"/>
  <c r="AG35" i="13"/>
  <c r="AF35" i="13"/>
  <c r="AE35" i="13"/>
  <c r="AD35" i="13"/>
  <c r="AH35" i="13" s="1"/>
  <c r="B35" i="13"/>
  <c r="AG34" i="13"/>
  <c r="AF34" i="13"/>
  <c r="AE34" i="13"/>
  <c r="AD34" i="13"/>
  <c r="AH34" i="13" s="1"/>
  <c r="B34" i="13"/>
  <c r="AG33" i="13"/>
  <c r="AF33" i="13"/>
  <c r="AE33" i="13"/>
  <c r="AD33" i="13"/>
  <c r="AH33" i="13" s="1"/>
  <c r="B33" i="13"/>
  <c r="AG32" i="13"/>
  <c r="AF32" i="13"/>
  <c r="AE32" i="13"/>
  <c r="AD32" i="13"/>
  <c r="AH32" i="13" s="1"/>
  <c r="B32" i="13"/>
  <c r="AG31" i="13"/>
  <c r="AF31" i="13"/>
  <c r="AE31" i="13"/>
  <c r="AD31" i="13"/>
  <c r="AH31" i="13" s="1"/>
  <c r="B31" i="13"/>
  <c r="AG30" i="13"/>
  <c r="AF30" i="13"/>
  <c r="AE30" i="13"/>
  <c r="AD30" i="13"/>
  <c r="AH30" i="13" s="1"/>
  <c r="B30" i="13"/>
  <c r="AG29" i="13"/>
  <c r="AF29" i="13"/>
  <c r="AE29" i="13"/>
  <c r="AD29" i="13"/>
  <c r="AH29" i="13" s="1"/>
  <c r="B29" i="13"/>
  <c r="AG28" i="13"/>
  <c r="AF28" i="13"/>
  <c r="AE28" i="13"/>
  <c r="AD28" i="13"/>
  <c r="AH28" i="13" s="1"/>
  <c r="B28" i="13"/>
  <c r="AG27" i="13"/>
  <c r="AF27" i="13"/>
  <c r="AE27" i="13"/>
  <c r="AD27" i="13"/>
  <c r="AH27" i="13" s="1"/>
  <c r="B27" i="13"/>
  <c r="AG26" i="13"/>
  <c r="AF26" i="13"/>
  <c r="AE26" i="13"/>
  <c r="AD26" i="13"/>
  <c r="AH26" i="13" s="1"/>
  <c r="B26" i="13"/>
  <c r="AG25" i="13"/>
  <c r="AF25" i="13"/>
  <c r="AE25" i="13"/>
  <c r="AD25" i="13"/>
  <c r="AH25" i="13" s="1"/>
  <c r="B25" i="13"/>
  <c r="AG24" i="13"/>
  <c r="AF24" i="13"/>
  <c r="AE24" i="13"/>
  <c r="AD24" i="13"/>
  <c r="AH24" i="13" s="1"/>
  <c r="B24" i="13"/>
  <c r="AG23" i="13"/>
  <c r="AF23" i="13"/>
  <c r="AE23" i="13"/>
  <c r="AD23" i="13"/>
  <c r="AH23" i="13" s="1"/>
  <c r="B23" i="13"/>
  <c r="AG22" i="13"/>
  <c r="AF22" i="13"/>
  <c r="AE22" i="13"/>
  <c r="AD22" i="13"/>
  <c r="AH22" i="13" s="1"/>
  <c r="B22" i="13"/>
  <c r="AG21" i="13"/>
  <c r="AF21" i="13"/>
  <c r="AE21" i="13"/>
  <c r="AD21" i="13"/>
  <c r="AH21" i="13" s="1"/>
  <c r="B21" i="13"/>
  <c r="AG20" i="13"/>
  <c r="AF20" i="13"/>
  <c r="AE20" i="13"/>
  <c r="AD20" i="13"/>
  <c r="AH20" i="13" s="1"/>
  <c r="B20" i="13"/>
  <c r="AG19" i="13"/>
  <c r="AF19" i="13"/>
  <c r="AE19" i="13"/>
  <c r="AD19" i="13"/>
  <c r="AH19" i="13" s="1"/>
  <c r="B19" i="13"/>
  <c r="AG18" i="13"/>
  <c r="AF18" i="13"/>
  <c r="AE18" i="13"/>
  <c r="AD18" i="13"/>
  <c r="AH18" i="13" s="1"/>
  <c r="B18" i="13"/>
  <c r="AG17" i="13"/>
  <c r="AF17" i="13"/>
  <c r="AE17" i="13"/>
  <c r="AD17" i="13"/>
  <c r="AH17" i="13" s="1"/>
  <c r="B17" i="13"/>
  <c r="AG16" i="13"/>
  <c r="AF16" i="13"/>
  <c r="AE16" i="13"/>
  <c r="AD16" i="13"/>
  <c r="AH16" i="13" s="1"/>
  <c r="B16" i="13"/>
  <c r="AG15" i="13"/>
  <c r="AF15" i="13"/>
  <c r="AE15" i="13"/>
  <c r="AD15" i="13"/>
  <c r="AH15" i="13" s="1"/>
  <c r="B15" i="13"/>
  <c r="AG14" i="13"/>
  <c r="AF14" i="13"/>
  <c r="AE14" i="13"/>
  <c r="AD14" i="13"/>
  <c r="AH14" i="13" s="1"/>
  <c r="B14" i="13"/>
  <c r="AG13" i="13"/>
  <c r="AF13" i="13"/>
  <c r="AE13" i="13"/>
  <c r="AD13" i="13"/>
  <c r="AH13" i="13" s="1"/>
  <c r="B13" i="13"/>
  <c r="AG12" i="13"/>
  <c r="AF12" i="13"/>
  <c r="AE12" i="13"/>
  <c r="AD12" i="13"/>
  <c r="AH12" i="13" s="1"/>
  <c r="B12" i="13"/>
  <c r="AG11" i="13"/>
  <c r="AF11" i="13"/>
  <c r="AE11" i="13"/>
  <c r="AD11" i="13"/>
  <c r="AH11" i="13" s="1"/>
  <c r="B11" i="13"/>
  <c r="AG10" i="13"/>
  <c r="AF10" i="13"/>
  <c r="AE10" i="13"/>
  <c r="AD10" i="13"/>
  <c r="AH10" i="13" s="1"/>
  <c r="B10" i="13"/>
  <c r="AG9" i="13"/>
  <c r="AF9" i="13"/>
  <c r="AE9" i="13"/>
  <c r="AD9" i="13"/>
  <c r="AH9" i="13" s="1"/>
  <c r="B9" i="13"/>
  <c r="AG8" i="13"/>
  <c r="AF8" i="13"/>
  <c r="AE8" i="13"/>
  <c r="AD8" i="13"/>
  <c r="AH8" i="13" s="1"/>
  <c r="B8" i="13"/>
  <c r="C5" i="13"/>
  <c r="V4" i="13"/>
  <c r="C4" i="13"/>
  <c r="C3" i="13"/>
  <c r="AG42" i="12"/>
  <c r="AF42" i="12"/>
  <c r="AE42" i="12"/>
  <c r="AD42" i="12"/>
  <c r="AH42" i="12" s="1"/>
  <c r="B42" i="12"/>
  <c r="AG41" i="12"/>
  <c r="AF41" i="12"/>
  <c r="AE41" i="12"/>
  <c r="AD41" i="12"/>
  <c r="AH41" i="12" s="1"/>
  <c r="B41" i="12"/>
  <c r="AG40" i="12"/>
  <c r="AF40" i="12"/>
  <c r="AE40" i="12"/>
  <c r="AD40" i="12"/>
  <c r="AH40" i="12" s="1"/>
  <c r="B40" i="12"/>
  <c r="AG39" i="12"/>
  <c r="AF39" i="12"/>
  <c r="AE39" i="12"/>
  <c r="AD39" i="12"/>
  <c r="AH39" i="12" s="1"/>
  <c r="B39" i="12"/>
  <c r="AG38" i="12"/>
  <c r="AF38" i="12"/>
  <c r="AE38" i="12"/>
  <c r="AD38" i="12"/>
  <c r="AH38" i="12" s="1"/>
  <c r="B38" i="12"/>
  <c r="AG37" i="12"/>
  <c r="AF37" i="12"/>
  <c r="AE37" i="12"/>
  <c r="AD37" i="12"/>
  <c r="AH37" i="12" s="1"/>
  <c r="B37" i="12"/>
  <c r="AG36" i="12"/>
  <c r="AF36" i="12"/>
  <c r="AE36" i="12"/>
  <c r="AD36" i="12"/>
  <c r="AH36" i="12" s="1"/>
  <c r="B36" i="12"/>
  <c r="AG35" i="12"/>
  <c r="AF35" i="12"/>
  <c r="AE35" i="12"/>
  <c r="AD35" i="12"/>
  <c r="AH35" i="12" s="1"/>
  <c r="B35" i="12"/>
  <c r="AG34" i="12"/>
  <c r="AF34" i="12"/>
  <c r="AE34" i="12"/>
  <c r="AD34" i="12"/>
  <c r="AH34" i="12" s="1"/>
  <c r="B34" i="12"/>
  <c r="AG33" i="12"/>
  <c r="AF33" i="12"/>
  <c r="AE33" i="12"/>
  <c r="AD33" i="12"/>
  <c r="AH33" i="12" s="1"/>
  <c r="B33" i="12"/>
  <c r="AG32" i="12"/>
  <c r="AF32" i="12"/>
  <c r="AE32" i="12"/>
  <c r="AD32" i="12"/>
  <c r="AH32" i="12" s="1"/>
  <c r="B32" i="12"/>
  <c r="AG31" i="12"/>
  <c r="AF31" i="12"/>
  <c r="AE31" i="12"/>
  <c r="AD31" i="12"/>
  <c r="AH31" i="12" s="1"/>
  <c r="B31" i="12"/>
  <c r="AG30" i="12"/>
  <c r="AF30" i="12"/>
  <c r="AE30" i="12"/>
  <c r="AD30" i="12"/>
  <c r="AH30" i="12" s="1"/>
  <c r="B30" i="12"/>
  <c r="AG29" i="12"/>
  <c r="AF29" i="12"/>
  <c r="AE29" i="12"/>
  <c r="AD29" i="12"/>
  <c r="AH29" i="12" s="1"/>
  <c r="B29" i="12"/>
  <c r="AG28" i="12"/>
  <c r="AF28" i="12"/>
  <c r="AE28" i="12"/>
  <c r="AD28" i="12"/>
  <c r="AH28" i="12" s="1"/>
  <c r="B28" i="12"/>
  <c r="AG27" i="12"/>
  <c r="AF27" i="12"/>
  <c r="AE27" i="12"/>
  <c r="AD27" i="12"/>
  <c r="AH27" i="12" s="1"/>
  <c r="B27" i="12"/>
  <c r="AG26" i="12"/>
  <c r="AF26" i="12"/>
  <c r="AE26" i="12"/>
  <c r="AD26" i="12"/>
  <c r="AH26" i="12" s="1"/>
  <c r="B26" i="12"/>
  <c r="AG25" i="12"/>
  <c r="AF25" i="12"/>
  <c r="AE25" i="12"/>
  <c r="AD25" i="12"/>
  <c r="AH25" i="12" s="1"/>
  <c r="B25" i="12"/>
  <c r="AG24" i="12"/>
  <c r="AF24" i="12"/>
  <c r="AE24" i="12"/>
  <c r="AD24" i="12"/>
  <c r="AH24" i="12" s="1"/>
  <c r="B24" i="12"/>
  <c r="AG23" i="12"/>
  <c r="AF23" i="12"/>
  <c r="AE23" i="12"/>
  <c r="AD23" i="12"/>
  <c r="AH23" i="12" s="1"/>
  <c r="B23" i="12"/>
  <c r="AG22" i="12"/>
  <c r="AF22" i="12"/>
  <c r="AE22" i="12"/>
  <c r="AD22" i="12"/>
  <c r="AH22" i="12" s="1"/>
  <c r="B22" i="12"/>
  <c r="AG21" i="12"/>
  <c r="AF21" i="12"/>
  <c r="AE21" i="12"/>
  <c r="AD21" i="12"/>
  <c r="AH21" i="12" s="1"/>
  <c r="B21" i="12"/>
  <c r="AG20" i="12"/>
  <c r="AF20" i="12"/>
  <c r="AE20" i="12"/>
  <c r="AD20" i="12"/>
  <c r="AH20" i="12" s="1"/>
  <c r="B20" i="12"/>
  <c r="AG19" i="12"/>
  <c r="AF19" i="12"/>
  <c r="AE19" i="12"/>
  <c r="AD19" i="12"/>
  <c r="AH19" i="12" s="1"/>
  <c r="B19" i="12"/>
  <c r="AG18" i="12"/>
  <c r="AF18" i="12"/>
  <c r="AE18" i="12"/>
  <c r="AD18" i="12"/>
  <c r="AH18" i="12" s="1"/>
  <c r="B18" i="12"/>
  <c r="AG17" i="12"/>
  <c r="AF17" i="12"/>
  <c r="AE17" i="12"/>
  <c r="AD17" i="12"/>
  <c r="AH17" i="12" s="1"/>
  <c r="B17" i="12"/>
  <c r="AG16" i="12"/>
  <c r="AF16" i="12"/>
  <c r="AE16" i="12"/>
  <c r="AD16" i="12"/>
  <c r="AH16" i="12" s="1"/>
  <c r="B16" i="12"/>
  <c r="AG15" i="12"/>
  <c r="AF15" i="12"/>
  <c r="AE15" i="12"/>
  <c r="AD15" i="12"/>
  <c r="AH15" i="12" s="1"/>
  <c r="B15" i="12"/>
  <c r="AG14" i="12"/>
  <c r="AF14" i="12"/>
  <c r="AE14" i="12"/>
  <c r="AD14" i="12"/>
  <c r="AH14" i="12" s="1"/>
  <c r="B14" i="12"/>
  <c r="AG13" i="12"/>
  <c r="AF13" i="12"/>
  <c r="AE13" i="12"/>
  <c r="AD13" i="12"/>
  <c r="AH13" i="12" s="1"/>
  <c r="B13" i="12"/>
  <c r="AG12" i="12"/>
  <c r="AF12" i="12"/>
  <c r="AE12" i="12"/>
  <c r="AD12" i="12"/>
  <c r="AH12" i="12" s="1"/>
  <c r="B12" i="12"/>
  <c r="AG11" i="12"/>
  <c r="AF11" i="12"/>
  <c r="AE11" i="12"/>
  <c r="AD11" i="12"/>
  <c r="AH11" i="12" s="1"/>
  <c r="B11" i="12"/>
  <c r="AG10" i="12"/>
  <c r="AF10" i="12"/>
  <c r="AE10" i="12"/>
  <c r="AD10" i="12"/>
  <c r="AH10" i="12" s="1"/>
  <c r="B10" i="12"/>
  <c r="AG9" i="12"/>
  <c r="AF9" i="12"/>
  <c r="AE9" i="12"/>
  <c r="AD9" i="12"/>
  <c r="AH9" i="12" s="1"/>
  <c r="B9" i="12"/>
  <c r="AG8" i="12"/>
  <c r="AF8" i="12"/>
  <c r="AE8" i="12"/>
  <c r="AD8" i="12"/>
  <c r="AH8" i="12" s="1"/>
  <c r="B8" i="12"/>
  <c r="C5" i="12"/>
  <c r="V4" i="12"/>
  <c r="C4" i="12"/>
  <c r="C3" i="12"/>
  <c r="AG42" i="11"/>
  <c r="AF42" i="11"/>
  <c r="AE42" i="11"/>
  <c r="AD42" i="11"/>
  <c r="AH42" i="11" s="1"/>
  <c r="B42" i="11"/>
  <c r="AG41" i="11"/>
  <c r="AF41" i="11"/>
  <c r="AE41" i="11"/>
  <c r="AD41" i="11"/>
  <c r="AH41" i="11" s="1"/>
  <c r="B41" i="11"/>
  <c r="AG40" i="11"/>
  <c r="AF40" i="11"/>
  <c r="AE40" i="11"/>
  <c r="AD40" i="11"/>
  <c r="AH40" i="11" s="1"/>
  <c r="B40" i="11"/>
  <c r="AG39" i="11"/>
  <c r="AF39" i="11"/>
  <c r="AE39" i="11"/>
  <c r="AD39" i="11"/>
  <c r="AH39" i="11" s="1"/>
  <c r="B39" i="11"/>
  <c r="AG38" i="11"/>
  <c r="AF38" i="11"/>
  <c r="AE38" i="11"/>
  <c r="AD38" i="11"/>
  <c r="AH38" i="11" s="1"/>
  <c r="B38" i="11"/>
  <c r="AG37" i="11"/>
  <c r="AF37" i="11"/>
  <c r="AE37" i="11"/>
  <c r="AD37" i="11"/>
  <c r="AH37" i="11" s="1"/>
  <c r="B37" i="11"/>
  <c r="AG36" i="11"/>
  <c r="AF36" i="11"/>
  <c r="AE36" i="11"/>
  <c r="AD36" i="11"/>
  <c r="AH36" i="11" s="1"/>
  <c r="B36" i="11"/>
  <c r="AG35" i="11"/>
  <c r="AF35" i="11"/>
  <c r="AE35" i="11"/>
  <c r="AD35" i="11"/>
  <c r="AH35" i="11" s="1"/>
  <c r="B35" i="11"/>
  <c r="AG34" i="11"/>
  <c r="AF34" i="11"/>
  <c r="AE34" i="11"/>
  <c r="AD34" i="11"/>
  <c r="AH34" i="11" s="1"/>
  <c r="B34" i="11"/>
  <c r="AG33" i="11"/>
  <c r="AF33" i="11"/>
  <c r="AE33" i="11"/>
  <c r="AD33" i="11"/>
  <c r="AH33" i="11" s="1"/>
  <c r="B33" i="11"/>
  <c r="AG32" i="11"/>
  <c r="AF32" i="11"/>
  <c r="AE32" i="11"/>
  <c r="AD32" i="11"/>
  <c r="AH32" i="11" s="1"/>
  <c r="B32" i="11"/>
  <c r="AG31" i="11"/>
  <c r="AF31" i="11"/>
  <c r="AE31" i="11"/>
  <c r="AD31" i="11"/>
  <c r="AH31" i="11" s="1"/>
  <c r="B31" i="11"/>
  <c r="AG30" i="11"/>
  <c r="AF30" i="11"/>
  <c r="AE30" i="11"/>
  <c r="AD30" i="11"/>
  <c r="AH30" i="11" s="1"/>
  <c r="B30" i="11"/>
  <c r="AG29" i="11"/>
  <c r="AF29" i="11"/>
  <c r="AE29" i="11"/>
  <c r="AD29" i="11"/>
  <c r="AH29" i="11" s="1"/>
  <c r="B29" i="11"/>
  <c r="AG28" i="11"/>
  <c r="AF28" i="11"/>
  <c r="AE28" i="11"/>
  <c r="AD28" i="11"/>
  <c r="AH28" i="11" s="1"/>
  <c r="B28" i="11"/>
  <c r="AG27" i="11"/>
  <c r="AF27" i="11"/>
  <c r="AE27" i="11"/>
  <c r="AD27" i="11"/>
  <c r="AH27" i="11" s="1"/>
  <c r="B27" i="11"/>
  <c r="AG26" i="11"/>
  <c r="AF26" i="11"/>
  <c r="AE26" i="11"/>
  <c r="AD26" i="11"/>
  <c r="AH26" i="11" s="1"/>
  <c r="B26" i="11"/>
  <c r="AG25" i="11"/>
  <c r="AF25" i="11"/>
  <c r="AE25" i="11"/>
  <c r="AD25" i="11"/>
  <c r="AH25" i="11" s="1"/>
  <c r="B25" i="11"/>
  <c r="AG24" i="11"/>
  <c r="AF24" i="11"/>
  <c r="AE24" i="11"/>
  <c r="AD24" i="11"/>
  <c r="AH24" i="11" s="1"/>
  <c r="B24" i="11"/>
  <c r="AG23" i="11"/>
  <c r="AF23" i="11"/>
  <c r="AE23" i="11"/>
  <c r="AD23" i="11"/>
  <c r="AH23" i="11" s="1"/>
  <c r="B23" i="11"/>
  <c r="AG22" i="11"/>
  <c r="AF22" i="11"/>
  <c r="AE22" i="11"/>
  <c r="AD22" i="11"/>
  <c r="AH22" i="11" s="1"/>
  <c r="B22" i="11"/>
  <c r="AG21" i="11"/>
  <c r="AF21" i="11"/>
  <c r="AE21" i="11"/>
  <c r="AD21" i="11"/>
  <c r="AH21" i="11" s="1"/>
  <c r="B21" i="11"/>
  <c r="AG20" i="11"/>
  <c r="AF20" i="11"/>
  <c r="AE20" i="11"/>
  <c r="AD20" i="11"/>
  <c r="AH20" i="11" s="1"/>
  <c r="B20" i="11"/>
  <c r="AG19" i="11"/>
  <c r="AF19" i="11"/>
  <c r="AE19" i="11"/>
  <c r="AD19" i="11"/>
  <c r="AH19" i="11" s="1"/>
  <c r="B19" i="11"/>
  <c r="AG18" i="11"/>
  <c r="AF18" i="11"/>
  <c r="AE18" i="11"/>
  <c r="AD18" i="11"/>
  <c r="AH18" i="11" s="1"/>
  <c r="B18" i="11"/>
  <c r="AG17" i="11"/>
  <c r="AF17" i="11"/>
  <c r="AE17" i="11"/>
  <c r="AD17" i="11"/>
  <c r="AH17" i="11" s="1"/>
  <c r="B17" i="11"/>
  <c r="AG16" i="11"/>
  <c r="AF16" i="11"/>
  <c r="AE16" i="11"/>
  <c r="AD16" i="11"/>
  <c r="AH16" i="11" s="1"/>
  <c r="B16" i="11"/>
  <c r="AG15" i="11"/>
  <c r="AF15" i="11"/>
  <c r="AE15" i="11"/>
  <c r="AD15" i="11"/>
  <c r="AH15" i="11" s="1"/>
  <c r="B15" i="11"/>
  <c r="AG14" i="11"/>
  <c r="AF14" i="11"/>
  <c r="AE14" i="11"/>
  <c r="AD14" i="11"/>
  <c r="AH14" i="11" s="1"/>
  <c r="B14" i="11"/>
  <c r="AG13" i="11"/>
  <c r="AF13" i="11"/>
  <c r="AE13" i="11"/>
  <c r="AD13" i="11"/>
  <c r="AH13" i="11" s="1"/>
  <c r="B13" i="11"/>
  <c r="AG12" i="11"/>
  <c r="AF12" i="11"/>
  <c r="AE12" i="11"/>
  <c r="AD12" i="11"/>
  <c r="AH12" i="11" s="1"/>
  <c r="B12" i="11"/>
  <c r="AG11" i="11"/>
  <c r="AF11" i="11"/>
  <c r="AE11" i="11"/>
  <c r="AD11" i="11"/>
  <c r="AH11" i="11" s="1"/>
  <c r="B11" i="11"/>
  <c r="AG10" i="11"/>
  <c r="AF10" i="11"/>
  <c r="AE10" i="11"/>
  <c r="AD10" i="11"/>
  <c r="AH10" i="11" s="1"/>
  <c r="B10" i="11"/>
  <c r="AG9" i="11"/>
  <c r="AF9" i="11"/>
  <c r="AE9" i="11"/>
  <c r="AD9" i="11"/>
  <c r="AH9" i="11" s="1"/>
  <c r="B9" i="11"/>
  <c r="AG8" i="11"/>
  <c r="AF8" i="11"/>
  <c r="AE8" i="11"/>
  <c r="AD8" i="11"/>
  <c r="AH8" i="11" s="1"/>
  <c r="B8" i="11"/>
  <c r="C5" i="11"/>
  <c r="V4" i="11"/>
  <c r="C4" i="11"/>
  <c r="C3" i="11"/>
  <c r="AG42" i="10"/>
  <c r="AF42" i="10"/>
  <c r="AE42" i="10"/>
  <c r="AD42" i="10"/>
  <c r="AH42" i="10" s="1"/>
  <c r="B42" i="10"/>
  <c r="AG41" i="10"/>
  <c r="AF41" i="10"/>
  <c r="AE41" i="10"/>
  <c r="AD41" i="10"/>
  <c r="AH41" i="10" s="1"/>
  <c r="B41" i="10"/>
  <c r="AG40" i="10"/>
  <c r="AF40" i="10"/>
  <c r="AE40" i="10"/>
  <c r="AD40" i="10"/>
  <c r="AH40" i="10" s="1"/>
  <c r="B40" i="10"/>
  <c r="AG39" i="10"/>
  <c r="AF39" i="10"/>
  <c r="AE39" i="10"/>
  <c r="AD39" i="10"/>
  <c r="AH39" i="10" s="1"/>
  <c r="B39" i="10"/>
  <c r="AG38" i="10"/>
  <c r="AF38" i="10"/>
  <c r="AE38" i="10"/>
  <c r="AD38" i="10"/>
  <c r="AH38" i="10" s="1"/>
  <c r="B38" i="10"/>
  <c r="AG37" i="10"/>
  <c r="AF37" i="10"/>
  <c r="AE37" i="10"/>
  <c r="AD37" i="10"/>
  <c r="AH37" i="10" s="1"/>
  <c r="B37" i="10"/>
  <c r="AG36" i="10"/>
  <c r="AF36" i="10"/>
  <c r="AE36" i="10"/>
  <c r="AD36" i="10"/>
  <c r="AH36" i="10" s="1"/>
  <c r="B36" i="10"/>
  <c r="AG35" i="10"/>
  <c r="AF35" i="10"/>
  <c r="AE35" i="10"/>
  <c r="AD35" i="10"/>
  <c r="AH35" i="10" s="1"/>
  <c r="B35" i="10"/>
  <c r="AG34" i="10"/>
  <c r="AF34" i="10"/>
  <c r="AE34" i="10"/>
  <c r="AD34" i="10"/>
  <c r="AH34" i="10" s="1"/>
  <c r="B34" i="10"/>
  <c r="AG33" i="10"/>
  <c r="AF33" i="10"/>
  <c r="AE33" i="10"/>
  <c r="AD33" i="10"/>
  <c r="AH33" i="10" s="1"/>
  <c r="B33" i="10"/>
  <c r="AG32" i="10"/>
  <c r="AF32" i="10"/>
  <c r="AE32" i="10"/>
  <c r="AD32" i="10"/>
  <c r="AH32" i="10" s="1"/>
  <c r="B32" i="10"/>
  <c r="AG31" i="10"/>
  <c r="AF31" i="10"/>
  <c r="AE31" i="10"/>
  <c r="AD31" i="10"/>
  <c r="AH31" i="10" s="1"/>
  <c r="B31" i="10"/>
  <c r="AG30" i="10"/>
  <c r="AF30" i="10"/>
  <c r="AE30" i="10"/>
  <c r="AD30" i="10"/>
  <c r="AH30" i="10" s="1"/>
  <c r="B30" i="10"/>
  <c r="AG29" i="10"/>
  <c r="AF29" i="10"/>
  <c r="AE29" i="10"/>
  <c r="AD29" i="10"/>
  <c r="AH29" i="10" s="1"/>
  <c r="B29" i="10"/>
  <c r="AG28" i="10"/>
  <c r="AF28" i="10"/>
  <c r="AE28" i="10"/>
  <c r="AD28" i="10"/>
  <c r="AH28" i="10" s="1"/>
  <c r="B28" i="10"/>
  <c r="AG27" i="10"/>
  <c r="AF27" i="10"/>
  <c r="AE27" i="10"/>
  <c r="AD27" i="10"/>
  <c r="AH27" i="10" s="1"/>
  <c r="B27" i="10"/>
  <c r="AG26" i="10"/>
  <c r="AF26" i="10"/>
  <c r="AE26" i="10"/>
  <c r="AD26" i="10"/>
  <c r="AH26" i="10" s="1"/>
  <c r="B26" i="10"/>
  <c r="AG25" i="10"/>
  <c r="AF25" i="10"/>
  <c r="AE25" i="10"/>
  <c r="AD25" i="10"/>
  <c r="AH25" i="10" s="1"/>
  <c r="B25" i="10"/>
  <c r="AG24" i="10"/>
  <c r="AF24" i="10"/>
  <c r="AE24" i="10"/>
  <c r="AD24" i="10"/>
  <c r="AH24" i="10" s="1"/>
  <c r="B24" i="10"/>
  <c r="AG23" i="10"/>
  <c r="AF23" i="10"/>
  <c r="AE23" i="10"/>
  <c r="AD23" i="10"/>
  <c r="AH23" i="10" s="1"/>
  <c r="B23" i="10"/>
  <c r="AG22" i="10"/>
  <c r="AF22" i="10"/>
  <c r="AE22" i="10"/>
  <c r="AD22" i="10"/>
  <c r="AH22" i="10" s="1"/>
  <c r="B22" i="10"/>
  <c r="AG21" i="10"/>
  <c r="AF21" i="10"/>
  <c r="AE21" i="10"/>
  <c r="AD21" i="10"/>
  <c r="AH21" i="10" s="1"/>
  <c r="B21" i="10"/>
  <c r="AG20" i="10"/>
  <c r="AF20" i="10"/>
  <c r="AE20" i="10"/>
  <c r="AD20" i="10"/>
  <c r="AH20" i="10" s="1"/>
  <c r="B20" i="10"/>
  <c r="AG19" i="10"/>
  <c r="AF19" i="10"/>
  <c r="AE19" i="10"/>
  <c r="AD19" i="10"/>
  <c r="AH19" i="10" s="1"/>
  <c r="B19" i="10"/>
  <c r="AG18" i="10"/>
  <c r="AF18" i="10"/>
  <c r="AE18" i="10"/>
  <c r="AD18" i="10"/>
  <c r="AH18" i="10" s="1"/>
  <c r="B18" i="10"/>
  <c r="AG17" i="10"/>
  <c r="AF17" i="10"/>
  <c r="AE17" i="10"/>
  <c r="AD17" i="10"/>
  <c r="AH17" i="10" s="1"/>
  <c r="B17" i="10"/>
  <c r="AG16" i="10"/>
  <c r="AF16" i="10"/>
  <c r="AE16" i="10"/>
  <c r="AD16" i="10"/>
  <c r="AH16" i="10" s="1"/>
  <c r="B16" i="10"/>
  <c r="AG15" i="10"/>
  <c r="AF15" i="10"/>
  <c r="AE15" i="10"/>
  <c r="AD15" i="10"/>
  <c r="AH15" i="10" s="1"/>
  <c r="B15" i="10"/>
  <c r="AG14" i="10"/>
  <c r="AF14" i="10"/>
  <c r="AE14" i="10"/>
  <c r="AD14" i="10"/>
  <c r="AH14" i="10" s="1"/>
  <c r="B14" i="10"/>
  <c r="AG13" i="10"/>
  <c r="AF13" i="10"/>
  <c r="AE13" i="10"/>
  <c r="AD13" i="10"/>
  <c r="AH13" i="10" s="1"/>
  <c r="B13" i="10"/>
  <c r="AG12" i="10"/>
  <c r="AF12" i="10"/>
  <c r="AE12" i="10"/>
  <c r="AD12" i="10"/>
  <c r="AH12" i="10" s="1"/>
  <c r="B12" i="10"/>
  <c r="AG11" i="10"/>
  <c r="AF11" i="10"/>
  <c r="AE11" i="10"/>
  <c r="AD11" i="10"/>
  <c r="AH11" i="10" s="1"/>
  <c r="B11" i="10"/>
  <c r="AG10" i="10"/>
  <c r="AF10" i="10"/>
  <c r="AE10" i="10"/>
  <c r="AD10" i="10"/>
  <c r="AH10" i="10" s="1"/>
  <c r="B10" i="10"/>
  <c r="AG9" i="10"/>
  <c r="AF9" i="10"/>
  <c r="AE9" i="10"/>
  <c r="AD9" i="10"/>
  <c r="AH9" i="10" s="1"/>
  <c r="B9" i="10"/>
  <c r="AG8" i="10"/>
  <c r="AF8" i="10"/>
  <c r="AE8" i="10"/>
  <c r="AD8" i="10"/>
  <c r="AH8" i="10" s="1"/>
  <c r="B8" i="10"/>
  <c r="C5" i="10"/>
  <c r="V4" i="10"/>
  <c r="C4" i="10"/>
  <c r="C3" i="10"/>
  <c r="AG42" i="9"/>
  <c r="AF42" i="9"/>
  <c r="AE42" i="9"/>
  <c r="AD42" i="9"/>
  <c r="AH42" i="9" s="1"/>
  <c r="B42" i="9"/>
  <c r="AG41" i="9"/>
  <c r="AF41" i="9"/>
  <c r="AE41" i="9"/>
  <c r="AD41" i="9"/>
  <c r="AH41" i="9" s="1"/>
  <c r="B41" i="9"/>
  <c r="AG40" i="9"/>
  <c r="AF40" i="9"/>
  <c r="AE40" i="9"/>
  <c r="AD40" i="9"/>
  <c r="AH40" i="9" s="1"/>
  <c r="B40" i="9"/>
  <c r="AG39" i="9"/>
  <c r="AF39" i="9"/>
  <c r="AE39" i="9"/>
  <c r="AD39" i="9"/>
  <c r="AH39" i="9" s="1"/>
  <c r="B39" i="9"/>
  <c r="AG38" i="9"/>
  <c r="AF38" i="9"/>
  <c r="AE38" i="9"/>
  <c r="AD38" i="9"/>
  <c r="AH38" i="9" s="1"/>
  <c r="B38" i="9"/>
  <c r="AG37" i="9"/>
  <c r="AF37" i="9"/>
  <c r="AE37" i="9"/>
  <c r="AD37" i="9"/>
  <c r="AH37" i="9" s="1"/>
  <c r="B37" i="9"/>
  <c r="AG36" i="9"/>
  <c r="AF36" i="9"/>
  <c r="AE36" i="9"/>
  <c r="AD36" i="9"/>
  <c r="AH36" i="9" s="1"/>
  <c r="B36" i="9"/>
  <c r="AG35" i="9"/>
  <c r="AF35" i="9"/>
  <c r="AE35" i="9"/>
  <c r="AD35" i="9"/>
  <c r="AH35" i="9" s="1"/>
  <c r="B35" i="9"/>
  <c r="AG34" i="9"/>
  <c r="AF34" i="9"/>
  <c r="AE34" i="9"/>
  <c r="AD34" i="9"/>
  <c r="AH34" i="9" s="1"/>
  <c r="B34" i="9"/>
  <c r="AG33" i="9"/>
  <c r="AF33" i="9"/>
  <c r="AE33" i="9"/>
  <c r="AD33" i="9"/>
  <c r="AH33" i="9" s="1"/>
  <c r="B33" i="9"/>
  <c r="AG32" i="9"/>
  <c r="AF32" i="9"/>
  <c r="AE32" i="9"/>
  <c r="AD32" i="9"/>
  <c r="AH32" i="9" s="1"/>
  <c r="B32" i="9"/>
  <c r="AG31" i="9"/>
  <c r="AF31" i="9"/>
  <c r="AE31" i="9"/>
  <c r="AD31" i="9"/>
  <c r="AH31" i="9" s="1"/>
  <c r="B31" i="9"/>
  <c r="AG30" i="9"/>
  <c r="AF30" i="9"/>
  <c r="AE30" i="9"/>
  <c r="AD30" i="9"/>
  <c r="AH30" i="9" s="1"/>
  <c r="B30" i="9"/>
  <c r="AG29" i="9"/>
  <c r="AF29" i="9"/>
  <c r="AE29" i="9"/>
  <c r="AD29" i="9"/>
  <c r="AH29" i="9" s="1"/>
  <c r="B29" i="9"/>
  <c r="AG28" i="9"/>
  <c r="AF28" i="9"/>
  <c r="AE28" i="9"/>
  <c r="AD28" i="9"/>
  <c r="AH28" i="9" s="1"/>
  <c r="B28" i="9"/>
  <c r="AG27" i="9"/>
  <c r="AF27" i="9"/>
  <c r="AE27" i="9"/>
  <c r="AD27" i="9"/>
  <c r="AH27" i="9" s="1"/>
  <c r="B27" i="9"/>
  <c r="AG26" i="9"/>
  <c r="AF26" i="9"/>
  <c r="AE26" i="9"/>
  <c r="AD26" i="9"/>
  <c r="AH26" i="9" s="1"/>
  <c r="B26" i="9"/>
  <c r="AG25" i="9"/>
  <c r="AF25" i="9"/>
  <c r="AE25" i="9"/>
  <c r="AD25" i="9"/>
  <c r="AH25" i="9" s="1"/>
  <c r="B25" i="9"/>
  <c r="AG24" i="9"/>
  <c r="AF24" i="9"/>
  <c r="AE24" i="9"/>
  <c r="AD24" i="9"/>
  <c r="AH24" i="9" s="1"/>
  <c r="B24" i="9"/>
  <c r="AG23" i="9"/>
  <c r="AF23" i="9"/>
  <c r="AE23" i="9"/>
  <c r="AD23" i="9"/>
  <c r="AH23" i="9" s="1"/>
  <c r="B23" i="9"/>
  <c r="AG22" i="9"/>
  <c r="AF22" i="9"/>
  <c r="AE22" i="9"/>
  <c r="AD22" i="9"/>
  <c r="AH22" i="9" s="1"/>
  <c r="B22" i="9"/>
  <c r="AG21" i="9"/>
  <c r="AF21" i="9"/>
  <c r="AE21" i="9"/>
  <c r="AD21" i="9"/>
  <c r="AH21" i="9" s="1"/>
  <c r="B21" i="9"/>
  <c r="AG20" i="9"/>
  <c r="AF20" i="9"/>
  <c r="AE20" i="9"/>
  <c r="AD20" i="9"/>
  <c r="AH20" i="9" s="1"/>
  <c r="B20" i="9"/>
  <c r="AG19" i="9"/>
  <c r="AF19" i="9"/>
  <c r="AE19" i="9"/>
  <c r="AD19" i="9"/>
  <c r="AH19" i="9" s="1"/>
  <c r="B19" i="9"/>
  <c r="AG18" i="9"/>
  <c r="AF18" i="9"/>
  <c r="AE18" i="9"/>
  <c r="AD18" i="9"/>
  <c r="AH18" i="9" s="1"/>
  <c r="B18" i="9"/>
  <c r="AG17" i="9"/>
  <c r="AF17" i="9"/>
  <c r="AE17" i="9"/>
  <c r="AD17" i="9"/>
  <c r="AH17" i="9" s="1"/>
  <c r="B17" i="9"/>
  <c r="AG16" i="9"/>
  <c r="AF16" i="9"/>
  <c r="AE16" i="9"/>
  <c r="AD16" i="9"/>
  <c r="AH16" i="9" s="1"/>
  <c r="B16" i="9"/>
  <c r="AG15" i="9"/>
  <c r="AF15" i="9"/>
  <c r="AE15" i="9"/>
  <c r="AD15" i="9"/>
  <c r="AH15" i="9" s="1"/>
  <c r="B15" i="9"/>
  <c r="AG14" i="9"/>
  <c r="AF14" i="9"/>
  <c r="AE14" i="9"/>
  <c r="AD14" i="9"/>
  <c r="AH14" i="9" s="1"/>
  <c r="B14" i="9"/>
  <c r="AG13" i="9"/>
  <c r="AF13" i="9"/>
  <c r="AE13" i="9"/>
  <c r="AD13" i="9"/>
  <c r="AH13" i="9" s="1"/>
  <c r="B13" i="9"/>
  <c r="AG12" i="9"/>
  <c r="AF12" i="9"/>
  <c r="AE12" i="9"/>
  <c r="AD12" i="9"/>
  <c r="AH12" i="9" s="1"/>
  <c r="B12" i="9"/>
  <c r="AG11" i="9"/>
  <c r="AF11" i="9"/>
  <c r="AE11" i="9"/>
  <c r="AD11" i="9"/>
  <c r="AH11" i="9" s="1"/>
  <c r="B11" i="9"/>
  <c r="AG10" i="9"/>
  <c r="AF10" i="9"/>
  <c r="AE10" i="9"/>
  <c r="AD10" i="9"/>
  <c r="AH10" i="9" s="1"/>
  <c r="B10" i="9"/>
  <c r="AG9" i="9"/>
  <c r="AF9" i="9"/>
  <c r="AE9" i="9"/>
  <c r="AD9" i="9"/>
  <c r="AH9" i="9" s="1"/>
  <c r="B9" i="9"/>
  <c r="AG8" i="9"/>
  <c r="AF8" i="9"/>
  <c r="AE8" i="9"/>
  <c r="AD8" i="9"/>
  <c r="AH8" i="9" s="1"/>
  <c r="B8" i="9"/>
  <c r="C5" i="9"/>
  <c r="V4" i="9"/>
  <c r="C4" i="9"/>
  <c r="C3" i="9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9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T3" i="8"/>
  <c r="C5" i="8"/>
  <c r="C4" i="8"/>
  <c r="C3" i="8"/>
  <c r="D9" i="15" l="1"/>
  <c r="AG42" i="7" l="1"/>
  <c r="AF42" i="7"/>
  <c r="AE42" i="7"/>
  <c r="AD42" i="7"/>
  <c r="AH42" i="7" s="1"/>
  <c r="B42" i="7"/>
  <c r="AG41" i="7"/>
  <c r="AF41" i="7"/>
  <c r="AE41" i="7"/>
  <c r="AD41" i="7"/>
  <c r="AH41" i="7" s="1"/>
  <c r="B41" i="7"/>
  <c r="AG40" i="7"/>
  <c r="AF40" i="7"/>
  <c r="AE40" i="7"/>
  <c r="AD40" i="7"/>
  <c r="AH40" i="7" s="1"/>
  <c r="B40" i="7"/>
  <c r="AG39" i="7"/>
  <c r="AF39" i="7"/>
  <c r="AE39" i="7"/>
  <c r="AD39" i="7"/>
  <c r="AH39" i="7" s="1"/>
  <c r="B39" i="7"/>
  <c r="AG38" i="7"/>
  <c r="AF38" i="7"/>
  <c r="AE38" i="7"/>
  <c r="AD38" i="7"/>
  <c r="AH38" i="7" s="1"/>
  <c r="B38" i="7"/>
  <c r="AG37" i="7"/>
  <c r="AF37" i="7"/>
  <c r="AE37" i="7"/>
  <c r="AD37" i="7"/>
  <c r="AH37" i="7" s="1"/>
  <c r="B37" i="7"/>
  <c r="AG36" i="7"/>
  <c r="AF36" i="7"/>
  <c r="AE36" i="7"/>
  <c r="AD36" i="7"/>
  <c r="AH36" i="7" s="1"/>
  <c r="B36" i="7"/>
  <c r="AG35" i="7"/>
  <c r="AF35" i="7"/>
  <c r="AE35" i="7"/>
  <c r="AD35" i="7"/>
  <c r="AH35" i="7" s="1"/>
  <c r="B35" i="7"/>
  <c r="AG34" i="7"/>
  <c r="AF34" i="7"/>
  <c r="AE34" i="7"/>
  <c r="AD34" i="7"/>
  <c r="AH34" i="7" s="1"/>
  <c r="B34" i="7"/>
  <c r="AG33" i="7"/>
  <c r="AF33" i="7"/>
  <c r="AE33" i="7"/>
  <c r="AD33" i="7"/>
  <c r="AH33" i="7" s="1"/>
  <c r="B33" i="7"/>
  <c r="AG32" i="7"/>
  <c r="AF32" i="7"/>
  <c r="AE32" i="7"/>
  <c r="AD32" i="7"/>
  <c r="AH32" i="7" s="1"/>
  <c r="B32" i="7"/>
  <c r="AG31" i="7"/>
  <c r="AF31" i="7"/>
  <c r="AE31" i="7"/>
  <c r="AD31" i="7"/>
  <c r="AH31" i="7" s="1"/>
  <c r="B31" i="7"/>
  <c r="AG30" i="7"/>
  <c r="AF30" i="7"/>
  <c r="AE30" i="7"/>
  <c r="AD30" i="7"/>
  <c r="AH30" i="7" s="1"/>
  <c r="B30" i="7"/>
  <c r="AG29" i="7"/>
  <c r="AF29" i="7"/>
  <c r="AE29" i="7"/>
  <c r="AD29" i="7"/>
  <c r="AH29" i="7" s="1"/>
  <c r="B29" i="7"/>
  <c r="AG28" i="7"/>
  <c r="AF28" i="7"/>
  <c r="AE28" i="7"/>
  <c r="AD28" i="7"/>
  <c r="AH28" i="7" s="1"/>
  <c r="B28" i="7"/>
  <c r="AG27" i="7"/>
  <c r="AF27" i="7"/>
  <c r="AE27" i="7"/>
  <c r="AD27" i="7"/>
  <c r="AH27" i="7" s="1"/>
  <c r="B27" i="7"/>
  <c r="AG26" i="7"/>
  <c r="AF26" i="7"/>
  <c r="AE26" i="7"/>
  <c r="AD26" i="7"/>
  <c r="AH26" i="7" s="1"/>
  <c r="B26" i="7"/>
  <c r="AG25" i="7"/>
  <c r="AF25" i="7"/>
  <c r="AE25" i="7"/>
  <c r="AD25" i="7"/>
  <c r="AH25" i="7" s="1"/>
  <c r="B25" i="7"/>
  <c r="AG24" i="7"/>
  <c r="AF24" i="7"/>
  <c r="AE24" i="7"/>
  <c r="AD24" i="7"/>
  <c r="AH24" i="7" s="1"/>
  <c r="B24" i="7"/>
  <c r="AG23" i="7"/>
  <c r="AF23" i="7"/>
  <c r="AE23" i="7"/>
  <c r="AD23" i="7"/>
  <c r="AH23" i="7" s="1"/>
  <c r="B23" i="7"/>
  <c r="AG22" i="7"/>
  <c r="AF22" i="7"/>
  <c r="AE22" i="7"/>
  <c r="AD22" i="7"/>
  <c r="AH22" i="7" s="1"/>
  <c r="B22" i="7"/>
  <c r="AG21" i="7"/>
  <c r="AF21" i="7"/>
  <c r="AE21" i="7"/>
  <c r="AD21" i="7"/>
  <c r="AH21" i="7" s="1"/>
  <c r="B21" i="7"/>
  <c r="AG20" i="7"/>
  <c r="AF20" i="7"/>
  <c r="AE20" i="7"/>
  <c r="AD20" i="7"/>
  <c r="AH20" i="7" s="1"/>
  <c r="B20" i="7"/>
  <c r="AG19" i="7"/>
  <c r="AF19" i="7"/>
  <c r="AE19" i="7"/>
  <c r="AD19" i="7"/>
  <c r="AH19" i="7" s="1"/>
  <c r="B19" i="7"/>
  <c r="AG18" i="7"/>
  <c r="AF18" i="7"/>
  <c r="AE18" i="7"/>
  <c r="AD18" i="7"/>
  <c r="AH18" i="7" s="1"/>
  <c r="B18" i="7"/>
  <c r="AG17" i="7"/>
  <c r="AF17" i="7"/>
  <c r="AE17" i="7"/>
  <c r="AD17" i="7"/>
  <c r="AH17" i="7" s="1"/>
  <c r="B17" i="7"/>
  <c r="AG16" i="7"/>
  <c r="AF16" i="7"/>
  <c r="AE16" i="7"/>
  <c r="AD16" i="7"/>
  <c r="AH16" i="7" s="1"/>
  <c r="B16" i="7"/>
  <c r="AG15" i="7"/>
  <c r="AF15" i="7"/>
  <c r="AE15" i="7"/>
  <c r="AD15" i="7"/>
  <c r="AH15" i="7" s="1"/>
  <c r="B15" i="7"/>
  <c r="AG14" i="7"/>
  <c r="AF14" i="7"/>
  <c r="AE14" i="7"/>
  <c r="AD14" i="7"/>
  <c r="AH14" i="7" s="1"/>
  <c r="B14" i="7"/>
  <c r="AG13" i="7"/>
  <c r="AF13" i="7"/>
  <c r="AE13" i="7"/>
  <c r="AD13" i="7"/>
  <c r="AH13" i="7" s="1"/>
  <c r="B13" i="7"/>
  <c r="AG12" i="7"/>
  <c r="AF12" i="7"/>
  <c r="AE12" i="7"/>
  <c r="AD12" i="7"/>
  <c r="AH12" i="7" s="1"/>
  <c r="B12" i="7"/>
  <c r="AG11" i="7"/>
  <c r="AF11" i="7"/>
  <c r="AE11" i="7"/>
  <c r="AD11" i="7"/>
  <c r="AH11" i="7" s="1"/>
  <c r="B11" i="7"/>
  <c r="AG10" i="7"/>
  <c r="AF10" i="7"/>
  <c r="AE10" i="7"/>
  <c r="AD10" i="7"/>
  <c r="AH10" i="7" s="1"/>
  <c r="B10" i="7"/>
  <c r="AG9" i="7"/>
  <c r="AF9" i="7"/>
  <c r="AE9" i="7"/>
  <c r="AD9" i="7"/>
  <c r="AH9" i="7" s="1"/>
  <c r="B9" i="7"/>
  <c r="AG8" i="7"/>
  <c r="AF8" i="7"/>
  <c r="AE8" i="7"/>
  <c r="AD8" i="7"/>
  <c r="AH8" i="7" s="1"/>
  <c r="B8" i="7"/>
  <c r="C5" i="7"/>
  <c r="V4" i="7"/>
  <c r="C4" i="7"/>
  <c r="C3" i="7"/>
  <c r="AG42" i="6"/>
  <c r="AF42" i="6"/>
  <c r="AE42" i="6"/>
  <c r="AD42" i="6"/>
  <c r="AH42" i="6" s="1"/>
  <c r="B42" i="6"/>
  <c r="AG41" i="6"/>
  <c r="AF41" i="6"/>
  <c r="AE41" i="6"/>
  <c r="AD41" i="6"/>
  <c r="AH41" i="6" s="1"/>
  <c r="B41" i="6"/>
  <c r="AG40" i="6"/>
  <c r="AF40" i="6"/>
  <c r="AE40" i="6"/>
  <c r="AD40" i="6"/>
  <c r="AH40" i="6" s="1"/>
  <c r="B40" i="6"/>
  <c r="AG39" i="6"/>
  <c r="AF39" i="6"/>
  <c r="AE39" i="6"/>
  <c r="AD39" i="6"/>
  <c r="AH39" i="6" s="1"/>
  <c r="B39" i="6"/>
  <c r="AG38" i="6"/>
  <c r="AF38" i="6"/>
  <c r="AE38" i="6"/>
  <c r="AD38" i="6"/>
  <c r="AH38" i="6" s="1"/>
  <c r="B38" i="6"/>
  <c r="AG37" i="6"/>
  <c r="AF37" i="6"/>
  <c r="AE37" i="6"/>
  <c r="AD37" i="6"/>
  <c r="AH37" i="6" s="1"/>
  <c r="B37" i="6"/>
  <c r="AG36" i="6"/>
  <c r="AF36" i="6"/>
  <c r="AE36" i="6"/>
  <c r="AD36" i="6"/>
  <c r="AH36" i="6" s="1"/>
  <c r="B36" i="6"/>
  <c r="AG35" i="6"/>
  <c r="AF35" i="6"/>
  <c r="AE35" i="6"/>
  <c r="AD35" i="6"/>
  <c r="AH35" i="6" s="1"/>
  <c r="B35" i="6"/>
  <c r="AG34" i="6"/>
  <c r="AF34" i="6"/>
  <c r="AE34" i="6"/>
  <c r="AD34" i="6"/>
  <c r="AH34" i="6" s="1"/>
  <c r="B34" i="6"/>
  <c r="AG33" i="6"/>
  <c r="AF33" i="6"/>
  <c r="AE33" i="6"/>
  <c r="AD33" i="6"/>
  <c r="AH33" i="6" s="1"/>
  <c r="B33" i="6"/>
  <c r="AG32" i="6"/>
  <c r="AF32" i="6"/>
  <c r="AE32" i="6"/>
  <c r="AD32" i="6"/>
  <c r="AH32" i="6" s="1"/>
  <c r="B32" i="6"/>
  <c r="AG31" i="6"/>
  <c r="AF31" i="6"/>
  <c r="AE31" i="6"/>
  <c r="AD31" i="6"/>
  <c r="AH31" i="6" s="1"/>
  <c r="B31" i="6"/>
  <c r="AG30" i="6"/>
  <c r="AF30" i="6"/>
  <c r="AE30" i="6"/>
  <c r="AD30" i="6"/>
  <c r="AH30" i="6" s="1"/>
  <c r="B30" i="6"/>
  <c r="AG29" i="6"/>
  <c r="AF29" i="6"/>
  <c r="AE29" i="6"/>
  <c r="AD29" i="6"/>
  <c r="AH29" i="6" s="1"/>
  <c r="B29" i="6"/>
  <c r="AG28" i="6"/>
  <c r="AF28" i="6"/>
  <c r="AE28" i="6"/>
  <c r="AD28" i="6"/>
  <c r="AH28" i="6" s="1"/>
  <c r="B28" i="6"/>
  <c r="AG27" i="6"/>
  <c r="AF27" i="6"/>
  <c r="AE27" i="6"/>
  <c r="AD27" i="6"/>
  <c r="AH27" i="6" s="1"/>
  <c r="B27" i="6"/>
  <c r="AG26" i="6"/>
  <c r="AF26" i="6"/>
  <c r="AE26" i="6"/>
  <c r="AD26" i="6"/>
  <c r="AH26" i="6" s="1"/>
  <c r="B26" i="6"/>
  <c r="AG25" i="6"/>
  <c r="AF25" i="6"/>
  <c r="AE25" i="6"/>
  <c r="AD25" i="6"/>
  <c r="AH25" i="6" s="1"/>
  <c r="B25" i="6"/>
  <c r="AG24" i="6"/>
  <c r="AF24" i="6"/>
  <c r="AE24" i="6"/>
  <c r="AD24" i="6"/>
  <c r="AH24" i="6" s="1"/>
  <c r="B24" i="6"/>
  <c r="AG23" i="6"/>
  <c r="AF23" i="6"/>
  <c r="AE23" i="6"/>
  <c r="AD23" i="6"/>
  <c r="AH23" i="6" s="1"/>
  <c r="B23" i="6"/>
  <c r="AG22" i="6"/>
  <c r="AF22" i="6"/>
  <c r="AE22" i="6"/>
  <c r="AD22" i="6"/>
  <c r="AH22" i="6" s="1"/>
  <c r="B22" i="6"/>
  <c r="AG21" i="6"/>
  <c r="AF21" i="6"/>
  <c r="AE21" i="6"/>
  <c r="AD21" i="6"/>
  <c r="AH21" i="6" s="1"/>
  <c r="B21" i="6"/>
  <c r="AG20" i="6"/>
  <c r="AF20" i="6"/>
  <c r="AE20" i="6"/>
  <c r="AD20" i="6"/>
  <c r="AH20" i="6" s="1"/>
  <c r="B20" i="6"/>
  <c r="AG19" i="6"/>
  <c r="AF19" i="6"/>
  <c r="AE19" i="6"/>
  <c r="AD19" i="6"/>
  <c r="AH19" i="6" s="1"/>
  <c r="B19" i="6"/>
  <c r="AG18" i="6"/>
  <c r="AF18" i="6"/>
  <c r="AE18" i="6"/>
  <c r="AD18" i="6"/>
  <c r="AH18" i="6" s="1"/>
  <c r="B18" i="6"/>
  <c r="AG17" i="6"/>
  <c r="AF17" i="6"/>
  <c r="AE17" i="6"/>
  <c r="AD17" i="6"/>
  <c r="AH17" i="6" s="1"/>
  <c r="B17" i="6"/>
  <c r="AG16" i="6"/>
  <c r="AF16" i="6"/>
  <c r="AE16" i="6"/>
  <c r="AD16" i="6"/>
  <c r="AH16" i="6" s="1"/>
  <c r="B16" i="6"/>
  <c r="AG15" i="6"/>
  <c r="AF15" i="6"/>
  <c r="AE15" i="6"/>
  <c r="AD15" i="6"/>
  <c r="AH15" i="6" s="1"/>
  <c r="B15" i="6"/>
  <c r="AG14" i="6"/>
  <c r="AF14" i="6"/>
  <c r="AE14" i="6"/>
  <c r="AD14" i="6"/>
  <c r="AH14" i="6" s="1"/>
  <c r="B14" i="6"/>
  <c r="AG13" i="6"/>
  <c r="AF13" i="6"/>
  <c r="AE13" i="6"/>
  <c r="AD13" i="6"/>
  <c r="AH13" i="6" s="1"/>
  <c r="B13" i="6"/>
  <c r="AG12" i="6"/>
  <c r="AF12" i="6"/>
  <c r="AE12" i="6"/>
  <c r="AD12" i="6"/>
  <c r="AH12" i="6" s="1"/>
  <c r="B12" i="6"/>
  <c r="AG11" i="6"/>
  <c r="AF11" i="6"/>
  <c r="AE11" i="6"/>
  <c r="AD11" i="6"/>
  <c r="AH11" i="6" s="1"/>
  <c r="B11" i="6"/>
  <c r="AG10" i="6"/>
  <c r="AF10" i="6"/>
  <c r="AE10" i="6"/>
  <c r="AD10" i="6"/>
  <c r="AH10" i="6" s="1"/>
  <c r="B10" i="6"/>
  <c r="AG9" i="6"/>
  <c r="AF9" i="6"/>
  <c r="AE9" i="6"/>
  <c r="AD9" i="6"/>
  <c r="AH9" i="6" s="1"/>
  <c r="B9" i="6"/>
  <c r="AG8" i="6"/>
  <c r="AF8" i="6"/>
  <c r="AE8" i="6"/>
  <c r="AD8" i="6"/>
  <c r="AH8" i="6" s="1"/>
  <c r="B8" i="6"/>
  <c r="C5" i="6"/>
  <c r="V4" i="6"/>
  <c r="C4" i="6"/>
  <c r="C3" i="6"/>
  <c r="AG42" i="5"/>
  <c r="AF42" i="5"/>
  <c r="AE42" i="5"/>
  <c r="AD42" i="5"/>
  <c r="AH42" i="5" s="1"/>
  <c r="B42" i="5"/>
  <c r="AG41" i="5"/>
  <c r="AF41" i="5"/>
  <c r="AE41" i="5"/>
  <c r="AD41" i="5"/>
  <c r="AH41" i="5" s="1"/>
  <c r="B41" i="5"/>
  <c r="AG40" i="5"/>
  <c r="AF40" i="5"/>
  <c r="AE40" i="5"/>
  <c r="AD40" i="5"/>
  <c r="AH40" i="5" s="1"/>
  <c r="B40" i="5"/>
  <c r="AG39" i="5"/>
  <c r="AF39" i="5"/>
  <c r="AE39" i="5"/>
  <c r="AD39" i="5"/>
  <c r="AH39" i="5" s="1"/>
  <c r="B39" i="5"/>
  <c r="AG38" i="5"/>
  <c r="AF38" i="5"/>
  <c r="AE38" i="5"/>
  <c r="AD38" i="5"/>
  <c r="AH38" i="5" s="1"/>
  <c r="B38" i="5"/>
  <c r="AG37" i="5"/>
  <c r="AF37" i="5"/>
  <c r="AE37" i="5"/>
  <c r="AD37" i="5"/>
  <c r="AH37" i="5" s="1"/>
  <c r="B37" i="5"/>
  <c r="AG36" i="5"/>
  <c r="AF36" i="5"/>
  <c r="AE36" i="5"/>
  <c r="AD36" i="5"/>
  <c r="AH36" i="5" s="1"/>
  <c r="B36" i="5"/>
  <c r="AG35" i="5"/>
  <c r="AF35" i="5"/>
  <c r="AE35" i="5"/>
  <c r="AD35" i="5"/>
  <c r="AH35" i="5" s="1"/>
  <c r="B35" i="5"/>
  <c r="AG34" i="5"/>
  <c r="AF34" i="5"/>
  <c r="AE34" i="5"/>
  <c r="AD34" i="5"/>
  <c r="AH34" i="5" s="1"/>
  <c r="B34" i="5"/>
  <c r="AG33" i="5"/>
  <c r="AF33" i="5"/>
  <c r="AE33" i="5"/>
  <c r="AD33" i="5"/>
  <c r="AH33" i="5" s="1"/>
  <c r="B33" i="5"/>
  <c r="AG32" i="5"/>
  <c r="AF32" i="5"/>
  <c r="AE32" i="5"/>
  <c r="AD32" i="5"/>
  <c r="AH32" i="5" s="1"/>
  <c r="B32" i="5"/>
  <c r="AG31" i="5"/>
  <c r="AF31" i="5"/>
  <c r="AE31" i="5"/>
  <c r="AD31" i="5"/>
  <c r="AH31" i="5" s="1"/>
  <c r="B31" i="5"/>
  <c r="AG30" i="5"/>
  <c r="AF30" i="5"/>
  <c r="AE30" i="5"/>
  <c r="AD30" i="5"/>
  <c r="AH30" i="5" s="1"/>
  <c r="B30" i="5"/>
  <c r="AG29" i="5"/>
  <c r="AF29" i="5"/>
  <c r="AE29" i="5"/>
  <c r="AD29" i="5"/>
  <c r="AH29" i="5" s="1"/>
  <c r="B29" i="5"/>
  <c r="AG28" i="5"/>
  <c r="AF28" i="5"/>
  <c r="AE28" i="5"/>
  <c r="AD28" i="5"/>
  <c r="AH28" i="5" s="1"/>
  <c r="B28" i="5"/>
  <c r="AG27" i="5"/>
  <c r="AF27" i="5"/>
  <c r="AE27" i="5"/>
  <c r="AD27" i="5"/>
  <c r="AH27" i="5" s="1"/>
  <c r="B27" i="5"/>
  <c r="AG26" i="5"/>
  <c r="AF26" i="5"/>
  <c r="AE26" i="5"/>
  <c r="AD26" i="5"/>
  <c r="AH26" i="5" s="1"/>
  <c r="B26" i="5"/>
  <c r="AG25" i="5"/>
  <c r="AF25" i="5"/>
  <c r="AE25" i="5"/>
  <c r="AD25" i="5"/>
  <c r="AH25" i="5" s="1"/>
  <c r="B25" i="5"/>
  <c r="AG24" i="5"/>
  <c r="AF24" i="5"/>
  <c r="AE24" i="5"/>
  <c r="AD24" i="5"/>
  <c r="AH24" i="5" s="1"/>
  <c r="B24" i="5"/>
  <c r="AG23" i="5"/>
  <c r="AF23" i="5"/>
  <c r="AE23" i="5"/>
  <c r="AD23" i="5"/>
  <c r="AH23" i="5" s="1"/>
  <c r="B23" i="5"/>
  <c r="AG22" i="5"/>
  <c r="AF22" i="5"/>
  <c r="AE22" i="5"/>
  <c r="AD22" i="5"/>
  <c r="AH22" i="5" s="1"/>
  <c r="B22" i="5"/>
  <c r="AG21" i="5"/>
  <c r="AF21" i="5"/>
  <c r="AE21" i="5"/>
  <c r="AD21" i="5"/>
  <c r="AH21" i="5" s="1"/>
  <c r="B21" i="5"/>
  <c r="AG20" i="5"/>
  <c r="AF20" i="5"/>
  <c r="AE20" i="5"/>
  <c r="AD20" i="5"/>
  <c r="AH20" i="5" s="1"/>
  <c r="B20" i="5"/>
  <c r="AG19" i="5"/>
  <c r="AF19" i="5"/>
  <c r="AE19" i="5"/>
  <c r="AD19" i="5"/>
  <c r="AH19" i="5" s="1"/>
  <c r="B19" i="5"/>
  <c r="AG18" i="5"/>
  <c r="AF18" i="5"/>
  <c r="AE18" i="5"/>
  <c r="AD18" i="5"/>
  <c r="AH18" i="5" s="1"/>
  <c r="B18" i="5"/>
  <c r="AG17" i="5"/>
  <c r="AF17" i="5"/>
  <c r="AE17" i="5"/>
  <c r="AD17" i="5"/>
  <c r="AH17" i="5" s="1"/>
  <c r="B17" i="5"/>
  <c r="AG16" i="5"/>
  <c r="AF16" i="5"/>
  <c r="AE16" i="5"/>
  <c r="AD16" i="5"/>
  <c r="AH16" i="5" s="1"/>
  <c r="B16" i="5"/>
  <c r="AG15" i="5"/>
  <c r="AF15" i="5"/>
  <c r="AE15" i="5"/>
  <c r="AD15" i="5"/>
  <c r="AH15" i="5" s="1"/>
  <c r="B15" i="5"/>
  <c r="AG14" i="5"/>
  <c r="AF14" i="5"/>
  <c r="AE14" i="5"/>
  <c r="AD14" i="5"/>
  <c r="AH14" i="5" s="1"/>
  <c r="B14" i="5"/>
  <c r="AG13" i="5"/>
  <c r="AF13" i="5"/>
  <c r="AE13" i="5"/>
  <c r="AD13" i="5"/>
  <c r="B13" i="5"/>
  <c r="AG12" i="5"/>
  <c r="AF12" i="5"/>
  <c r="AE12" i="5"/>
  <c r="AD12" i="5"/>
  <c r="AH12" i="5" s="1"/>
  <c r="B12" i="5"/>
  <c r="AG11" i="5"/>
  <c r="AF11" i="5"/>
  <c r="AE11" i="5"/>
  <c r="AD11" i="5"/>
  <c r="AH11" i="5" s="1"/>
  <c r="B11" i="5"/>
  <c r="AG10" i="5"/>
  <c r="AF10" i="5"/>
  <c r="AE10" i="5"/>
  <c r="AD10" i="5"/>
  <c r="AH10" i="5" s="1"/>
  <c r="B10" i="5"/>
  <c r="AG9" i="5"/>
  <c r="AF9" i="5"/>
  <c r="AE9" i="5"/>
  <c r="AD9" i="5"/>
  <c r="AH9" i="5" s="1"/>
  <c r="B9" i="5"/>
  <c r="AG8" i="5"/>
  <c r="AF8" i="5"/>
  <c r="AE8" i="5"/>
  <c r="AD8" i="5"/>
  <c r="AH8" i="5" s="1"/>
  <c r="B8" i="5"/>
  <c r="C5" i="5"/>
  <c r="V4" i="5"/>
  <c r="C4" i="5"/>
  <c r="C3" i="5"/>
  <c r="AG42" i="4"/>
  <c r="AF42" i="4"/>
  <c r="AE42" i="4"/>
  <c r="AD42" i="4"/>
  <c r="AH42" i="4" s="1"/>
  <c r="B42" i="4"/>
  <c r="AG41" i="4"/>
  <c r="AF41" i="4"/>
  <c r="AE41" i="4"/>
  <c r="AD41" i="4"/>
  <c r="AH41" i="4" s="1"/>
  <c r="B41" i="4"/>
  <c r="AG40" i="4"/>
  <c r="AF40" i="4"/>
  <c r="AE40" i="4"/>
  <c r="AD40" i="4"/>
  <c r="AH40" i="4" s="1"/>
  <c r="B40" i="4"/>
  <c r="AG39" i="4"/>
  <c r="AF39" i="4"/>
  <c r="AE39" i="4"/>
  <c r="AD39" i="4"/>
  <c r="AH39" i="4" s="1"/>
  <c r="B39" i="4"/>
  <c r="AG38" i="4"/>
  <c r="AF38" i="4"/>
  <c r="AE38" i="4"/>
  <c r="AD38" i="4"/>
  <c r="AH38" i="4" s="1"/>
  <c r="B38" i="4"/>
  <c r="AG37" i="4"/>
  <c r="AF37" i="4"/>
  <c r="AE37" i="4"/>
  <c r="AD37" i="4"/>
  <c r="AH37" i="4" s="1"/>
  <c r="B37" i="4"/>
  <c r="AG36" i="4"/>
  <c r="AF36" i="4"/>
  <c r="AE36" i="4"/>
  <c r="AD36" i="4"/>
  <c r="AH36" i="4" s="1"/>
  <c r="B36" i="4"/>
  <c r="AG35" i="4"/>
  <c r="AF35" i="4"/>
  <c r="AE35" i="4"/>
  <c r="AD35" i="4"/>
  <c r="AH35" i="4" s="1"/>
  <c r="B35" i="4"/>
  <c r="AG34" i="4"/>
  <c r="AF34" i="4"/>
  <c r="AE34" i="4"/>
  <c r="AD34" i="4"/>
  <c r="AH34" i="4" s="1"/>
  <c r="B34" i="4"/>
  <c r="AG33" i="4"/>
  <c r="AF33" i="4"/>
  <c r="AE33" i="4"/>
  <c r="AD33" i="4"/>
  <c r="AH33" i="4" s="1"/>
  <c r="B33" i="4"/>
  <c r="AG32" i="4"/>
  <c r="AF32" i="4"/>
  <c r="AE32" i="4"/>
  <c r="AD32" i="4"/>
  <c r="AH32" i="4" s="1"/>
  <c r="B32" i="4"/>
  <c r="AG31" i="4"/>
  <c r="AF31" i="4"/>
  <c r="AE31" i="4"/>
  <c r="AD31" i="4"/>
  <c r="AH31" i="4" s="1"/>
  <c r="B31" i="4"/>
  <c r="AG30" i="4"/>
  <c r="AF30" i="4"/>
  <c r="AE30" i="4"/>
  <c r="AD30" i="4"/>
  <c r="AH30" i="4" s="1"/>
  <c r="B30" i="4"/>
  <c r="AG29" i="4"/>
  <c r="AF29" i="4"/>
  <c r="AE29" i="4"/>
  <c r="AD29" i="4"/>
  <c r="AH29" i="4" s="1"/>
  <c r="B29" i="4"/>
  <c r="AG28" i="4"/>
  <c r="AF28" i="4"/>
  <c r="AE28" i="4"/>
  <c r="AD28" i="4"/>
  <c r="AH28" i="4" s="1"/>
  <c r="B28" i="4"/>
  <c r="AG27" i="4"/>
  <c r="AF27" i="4"/>
  <c r="AE27" i="4"/>
  <c r="AD27" i="4"/>
  <c r="AH27" i="4" s="1"/>
  <c r="B27" i="4"/>
  <c r="AG26" i="4"/>
  <c r="AF26" i="4"/>
  <c r="AE26" i="4"/>
  <c r="AD26" i="4"/>
  <c r="AH26" i="4" s="1"/>
  <c r="B26" i="4"/>
  <c r="AG25" i="4"/>
  <c r="AF25" i="4"/>
  <c r="AE25" i="4"/>
  <c r="AD25" i="4"/>
  <c r="AH25" i="4" s="1"/>
  <c r="B25" i="4"/>
  <c r="AG24" i="4"/>
  <c r="AF24" i="4"/>
  <c r="AE24" i="4"/>
  <c r="AD24" i="4"/>
  <c r="AH24" i="4" s="1"/>
  <c r="B24" i="4"/>
  <c r="AG23" i="4"/>
  <c r="AF23" i="4"/>
  <c r="AE23" i="4"/>
  <c r="AD23" i="4"/>
  <c r="AH23" i="4" s="1"/>
  <c r="B23" i="4"/>
  <c r="AG22" i="4"/>
  <c r="AF22" i="4"/>
  <c r="AE22" i="4"/>
  <c r="AD22" i="4"/>
  <c r="AH22" i="4" s="1"/>
  <c r="B22" i="4"/>
  <c r="AG21" i="4"/>
  <c r="AF21" i="4"/>
  <c r="AE21" i="4"/>
  <c r="AD21" i="4"/>
  <c r="AH21" i="4" s="1"/>
  <c r="B21" i="4"/>
  <c r="AG20" i="4"/>
  <c r="AF20" i="4"/>
  <c r="AE20" i="4"/>
  <c r="AD20" i="4"/>
  <c r="AH20" i="4" s="1"/>
  <c r="B20" i="4"/>
  <c r="AG19" i="4"/>
  <c r="AF19" i="4"/>
  <c r="AE19" i="4"/>
  <c r="AD19" i="4"/>
  <c r="AH19" i="4" s="1"/>
  <c r="B19" i="4"/>
  <c r="AG18" i="4"/>
  <c r="AF18" i="4"/>
  <c r="AE18" i="4"/>
  <c r="AD18" i="4"/>
  <c r="AH18" i="4" s="1"/>
  <c r="B18" i="4"/>
  <c r="AG17" i="4"/>
  <c r="AF17" i="4"/>
  <c r="AE17" i="4"/>
  <c r="AD17" i="4"/>
  <c r="AH17" i="4" s="1"/>
  <c r="B17" i="4"/>
  <c r="AG16" i="4"/>
  <c r="AF16" i="4"/>
  <c r="AE16" i="4"/>
  <c r="AD16" i="4"/>
  <c r="AH16" i="4" s="1"/>
  <c r="B16" i="4"/>
  <c r="AG15" i="4"/>
  <c r="AF15" i="4"/>
  <c r="AE15" i="4"/>
  <c r="AD15" i="4"/>
  <c r="AH15" i="4" s="1"/>
  <c r="B15" i="4"/>
  <c r="AG14" i="4"/>
  <c r="AF14" i="4"/>
  <c r="AE14" i="4"/>
  <c r="AD14" i="4"/>
  <c r="AH14" i="4" s="1"/>
  <c r="B14" i="4"/>
  <c r="AG13" i="4"/>
  <c r="AF13" i="4"/>
  <c r="AE13" i="4"/>
  <c r="AD13" i="4"/>
  <c r="AH13" i="4" s="1"/>
  <c r="B13" i="4"/>
  <c r="AG12" i="4"/>
  <c r="AF12" i="4"/>
  <c r="AE12" i="4"/>
  <c r="AD12" i="4"/>
  <c r="AH12" i="4" s="1"/>
  <c r="B12" i="4"/>
  <c r="AG11" i="4"/>
  <c r="AF11" i="4"/>
  <c r="AE11" i="4"/>
  <c r="AD11" i="4"/>
  <c r="AH11" i="4" s="1"/>
  <c r="B11" i="4"/>
  <c r="AG10" i="4"/>
  <c r="AF10" i="4"/>
  <c r="AE10" i="4"/>
  <c r="AD10" i="4"/>
  <c r="AH10" i="4" s="1"/>
  <c r="B10" i="4"/>
  <c r="AG9" i="4"/>
  <c r="AF9" i="4"/>
  <c r="AE9" i="4"/>
  <c r="AD9" i="4"/>
  <c r="AH9" i="4" s="1"/>
  <c r="B9" i="4"/>
  <c r="AG8" i="4"/>
  <c r="AF8" i="4"/>
  <c r="AE8" i="4"/>
  <c r="AD8" i="4"/>
  <c r="AH8" i="4" s="1"/>
  <c r="B8" i="4"/>
  <c r="C5" i="4"/>
  <c r="V4" i="4"/>
  <c r="C4" i="4"/>
  <c r="C3" i="4"/>
  <c r="V4" i="3"/>
  <c r="AG9" i="3"/>
  <c r="AG10" i="3"/>
  <c r="AG11" i="3"/>
  <c r="AG12" i="3"/>
  <c r="AH12" i="3" s="1"/>
  <c r="AG13" i="3"/>
  <c r="AG14" i="3"/>
  <c r="AG15" i="3"/>
  <c r="AG16" i="3"/>
  <c r="AH16" i="3" s="1"/>
  <c r="AG17" i="3"/>
  <c r="AG18" i="3"/>
  <c r="AG19" i="3"/>
  <c r="AG20" i="3"/>
  <c r="AH20" i="3" s="1"/>
  <c r="AG21" i="3"/>
  <c r="AG22" i="3"/>
  <c r="AG23" i="3"/>
  <c r="AG24" i="3"/>
  <c r="AG25" i="3"/>
  <c r="AG26" i="3"/>
  <c r="AG27" i="3"/>
  <c r="AG28" i="3"/>
  <c r="AH28" i="3" s="1"/>
  <c r="AG29" i="3"/>
  <c r="AG30" i="3"/>
  <c r="AG31" i="3"/>
  <c r="AG32" i="3"/>
  <c r="AH32" i="3" s="1"/>
  <c r="AG33" i="3"/>
  <c r="AG34" i="3"/>
  <c r="AG35" i="3"/>
  <c r="AG36" i="3"/>
  <c r="AG37" i="3"/>
  <c r="AG38" i="3"/>
  <c r="AG39" i="3"/>
  <c r="AG40" i="3"/>
  <c r="AG41" i="3"/>
  <c r="AG42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H24" i="3"/>
  <c r="AH8" i="3"/>
  <c r="AG8" i="3"/>
  <c r="AF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8" i="3"/>
  <c r="AD41" i="3"/>
  <c r="AH41" i="3" s="1"/>
  <c r="AD42" i="3"/>
  <c r="AH42" i="3" s="1"/>
  <c r="AD33" i="3"/>
  <c r="AH33" i="3" s="1"/>
  <c r="AD34" i="3"/>
  <c r="AH34" i="3" s="1"/>
  <c r="AD35" i="3"/>
  <c r="AH35" i="3" s="1"/>
  <c r="AD36" i="3"/>
  <c r="AD37" i="3"/>
  <c r="AH37" i="3" s="1"/>
  <c r="AD38" i="3"/>
  <c r="AH38" i="3" s="1"/>
  <c r="AD39" i="3"/>
  <c r="AH39" i="3" s="1"/>
  <c r="AD40" i="3"/>
  <c r="AD23" i="3"/>
  <c r="AH23" i="3" s="1"/>
  <c r="AD24" i="3"/>
  <c r="AD25" i="3"/>
  <c r="AH25" i="3" s="1"/>
  <c r="AD26" i="3"/>
  <c r="AH26" i="3" s="1"/>
  <c r="AD27" i="3"/>
  <c r="AH27" i="3" s="1"/>
  <c r="AD28" i="3"/>
  <c r="AD29" i="3"/>
  <c r="AH29" i="3" s="1"/>
  <c r="AD30" i="3"/>
  <c r="AH30" i="3" s="1"/>
  <c r="AD31" i="3"/>
  <c r="AH31" i="3" s="1"/>
  <c r="AD32" i="3"/>
  <c r="AD9" i="3"/>
  <c r="AH9" i="3" s="1"/>
  <c r="AD10" i="3"/>
  <c r="AH10" i="3" s="1"/>
  <c r="AD11" i="3"/>
  <c r="AH11" i="3" s="1"/>
  <c r="AD12" i="3"/>
  <c r="AD13" i="3"/>
  <c r="AH13" i="3" s="1"/>
  <c r="AD14" i="3"/>
  <c r="AH14" i="3" s="1"/>
  <c r="AD15" i="3"/>
  <c r="AH15" i="3" s="1"/>
  <c r="AD16" i="3"/>
  <c r="AD17" i="3"/>
  <c r="AH17" i="3" s="1"/>
  <c r="AD18" i="3"/>
  <c r="AH18" i="3" s="1"/>
  <c r="AD19" i="3"/>
  <c r="AH19" i="3" s="1"/>
  <c r="AD20" i="3"/>
  <c r="AD21" i="3"/>
  <c r="AH21" i="3" s="1"/>
  <c r="AD22" i="3"/>
  <c r="AH22" i="3" s="1"/>
  <c r="AD8" i="3"/>
  <c r="AH13" i="5" l="1"/>
  <c r="AH40" i="3"/>
  <c r="AH36" i="3"/>
  <c r="C5" i="3"/>
  <c r="C4" i="3"/>
  <c r="C3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30" i="2"/>
  <c r="E30" i="2" s="1"/>
  <c r="D31" i="2"/>
  <c r="E31" i="2" s="1"/>
  <c r="D32" i="2"/>
  <c r="E32" i="2" s="1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7" i="2"/>
  <c r="E7" i="2" s="1"/>
  <c r="H4" i="2" l="1"/>
  <c r="H3" i="2"/>
  <c r="C4" i="2"/>
  <c r="C3" i="2"/>
</calcChain>
</file>

<file path=xl/sharedStrings.xml><?xml version="1.0" encoding="utf-8"?>
<sst xmlns="http://schemas.openxmlformats.org/spreadsheetml/2006/main" count="9059" uniqueCount="140">
  <si>
    <t>DISTRITO</t>
  </si>
  <si>
    <t>DIRECTOR/A DISTRITAL</t>
  </si>
  <si>
    <t>NÚCLEO</t>
  </si>
  <si>
    <t>CENTRO EDUCATIVO</t>
  </si>
  <si>
    <t>DOCENTE</t>
  </si>
  <si>
    <t>NIVEL</t>
  </si>
  <si>
    <t>CAMPO</t>
  </si>
  <si>
    <t>ÁREA</t>
  </si>
  <si>
    <t>ESPECIALIDAD</t>
  </si>
  <si>
    <t>GESTIÓN</t>
  </si>
  <si>
    <t>:</t>
  </si>
  <si>
    <t>ROBORÉ</t>
  </si>
  <si>
    <t>PEDRITO DE LOS PALOTES</t>
  </si>
  <si>
    <t>NOEMY PEINADO DE SAENZ</t>
  </si>
  <si>
    <t>SAGRADA FAMILIA III</t>
  </si>
  <si>
    <t>CIENCIA, TECNOLOGÍA Y PRODUCCIÓN</t>
  </si>
  <si>
    <t>EDUCACIÓN SECUNDARIA DE PERSONAS JÓVENES Y ADULTAS</t>
  </si>
  <si>
    <t>SISTEMAS COMPUTACIONALES</t>
  </si>
  <si>
    <t>CUADERNO PEDAGÓGICO</t>
  </si>
  <si>
    <t>FILIACIÓN</t>
  </si>
  <si>
    <t>MARÍA DE LOS JARICHIS</t>
  </si>
  <si>
    <t xml:space="preserve">GESTIÓN </t>
  </si>
  <si>
    <t>NÓMINA DE PARTICIPANTES</t>
  </si>
  <si>
    <t>Nº</t>
  </si>
  <si>
    <t>NACIMIENTO</t>
  </si>
  <si>
    <t>EDAD</t>
  </si>
  <si>
    <t>C.I.</t>
  </si>
  <si>
    <t>BARRIO/CALLE</t>
  </si>
  <si>
    <t>PADRE/MADRE</t>
  </si>
  <si>
    <t>CELULAR</t>
  </si>
  <si>
    <t>LUGAR NACIMIENTO</t>
  </si>
  <si>
    <t>JJJJJJJJJJJJJJJJJJJJ</t>
  </si>
  <si>
    <t>AAAAAAAAAAAAAAAAAA</t>
  </si>
  <si>
    <t>OOOOOOOOOOOOOOOOOO</t>
  </si>
  <si>
    <t>MÓDULO</t>
  </si>
  <si>
    <t>F</t>
  </si>
  <si>
    <t>A</t>
  </si>
  <si>
    <t xml:space="preserve">ETA: </t>
  </si>
  <si>
    <t>FACILITADOR/A</t>
  </si>
  <si>
    <t>AUXILIAR</t>
  </si>
  <si>
    <t>CONTROL DE ASISTENCIA FEBRERO</t>
  </si>
  <si>
    <t>DÍAS TRABAJADOS</t>
  </si>
  <si>
    <r>
      <t xml:space="preserve">Asist. </t>
    </r>
    <r>
      <rPr>
        <sz val="10"/>
        <color rgb="FFC00000"/>
        <rFont val="Calibri"/>
        <family val="2"/>
        <scheme val="minor"/>
      </rPr>
      <t>(A)</t>
    </r>
  </si>
  <si>
    <r>
      <t xml:space="preserve">Faltas </t>
    </r>
    <r>
      <rPr>
        <sz val="10"/>
        <color rgb="FFC00000"/>
        <rFont val="Calibri"/>
        <family val="2"/>
        <scheme val="minor"/>
      </rPr>
      <t>(F)</t>
    </r>
  </si>
  <si>
    <r>
      <t xml:space="preserve">Retrasos </t>
    </r>
    <r>
      <rPr>
        <sz val="10"/>
        <color rgb="FFC00000"/>
        <rFont val="Calibri"/>
        <family val="2"/>
        <scheme val="minor"/>
      </rPr>
      <t>( R )</t>
    </r>
  </si>
  <si>
    <r>
      <t xml:space="preserve">Licencias </t>
    </r>
    <r>
      <rPr>
        <sz val="10"/>
        <color rgb="FFC00000"/>
        <rFont val="Calibri"/>
        <family val="2"/>
        <scheme val="minor"/>
      </rPr>
      <t>(L)</t>
    </r>
  </si>
  <si>
    <t>R</t>
  </si>
  <si>
    <t>L</t>
  </si>
  <si>
    <t>CONTROL DE ASISTENCIA MARZO</t>
  </si>
  <si>
    <t>CONTROL DE ASISTENCIA ABRIL</t>
  </si>
  <si>
    <t>CONTROL DE ASISTENCIA MAYO</t>
  </si>
  <si>
    <t>CONTROL DE ASISTENCIA JUNIO</t>
  </si>
  <si>
    <t>DIRECTOR/A</t>
  </si>
  <si>
    <t>SER/10</t>
  </si>
  <si>
    <t>SABER/20</t>
  </si>
  <si>
    <t>DECID/10</t>
  </si>
  <si>
    <t>TOTAL PARCIAL</t>
  </si>
  <si>
    <t>HACER/40</t>
  </si>
  <si>
    <t>TOTAL</t>
  </si>
  <si>
    <t>PROCESO</t>
  </si>
  <si>
    <t>PRODUCT</t>
  </si>
  <si>
    <t>AUTOEVAL/20</t>
  </si>
  <si>
    <t>PROMEDIO/ HACER</t>
  </si>
  <si>
    <t>PROMEDIO 1 SEMEST</t>
  </si>
  <si>
    <t>CONTROL DE CALIFICACIONES PRIMER SEMESTRE</t>
  </si>
  <si>
    <t>CONDICIÓN FINAL DEL PARTICIPANTE</t>
  </si>
  <si>
    <t>CONTROL DE ASISTENCIA JULIO</t>
  </si>
  <si>
    <t>CONTROL DE ASISTENCIA AGOSTO</t>
  </si>
  <si>
    <t>APELLIDOS Y NOMBRES</t>
  </si>
  <si>
    <t>CONTROL DE ASISTENCIA SEPTIEMBRE</t>
  </si>
  <si>
    <t>CONTROL DE CALIFICACIONES SEGUNDO SEMESTRE</t>
  </si>
  <si>
    <t>PROMEDIO 2 SEMEST</t>
  </si>
  <si>
    <t>1 SEMESTRE</t>
  </si>
  <si>
    <t>2 SEMESTRE</t>
  </si>
  <si>
    <t>PROMEDIO</t>
  </si>
  <si>
    <t>CENTRALIZADOR DE CALIFICACIONES</t>
  </si>
  <si>
    <t>LUGAR</t>
  </si>
  <si>
    <t>VALORACIÓN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</si>
  <si>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</si>
  <si>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</si>
  <si>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</si>
  <si>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</si>
  <si>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</si>
  <si>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</si>
  <si>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</si>
  <si>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</si>
  <si>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</si>
  <si>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</si>
  <si>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11mo lugar</t>
  </si>
  <si>
    <t>12mo lugar</t>
  </si>
  <si>
    <t>13er lugar</t>
  </si>
  <si>
    <t>14to lugar</t>
  </si>
  <si>
    <t>15to lugar</t>
  </si>
  <si>
    <t>16to lugar</t>
  </si>
  <si>
    <t>17mo lugar</t>
  </si>
  <si>
    <t>18vo lugar</t>
  </si>
  <si>
    <t>19no lugar</t>
  </si>
  <si>
    <t>20mo lugar</t>
  </si>
  <si>
    <t>21er lugar</t>
  </si>
  <si>
    <t>22do lugar</t>
  </si>
  <si>
    <t>23er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</si>
  <si>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</si>
  <si>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</si>
  <si>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</si>
  <si>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</si>
  <si>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</si>
  <si>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</si>
  <si>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</si>
  <si>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31er lugar</t>
  </si>
  <si>
    <t>32do lugar</t>
  </si>
  <si>
    <t>33er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</si>
  <si>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</si>
  <si>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</si>
  <si>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</si>
  <si>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</si>
  <si>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</si>
  <si>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</si>
  <si>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</si>
  <si>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41er lugar</t>
  </si>
  <si>
    <t>42do lugar</t>
  </si>
  <si>
    <t>43er lugar</t>
  </si>
  <si>
    <t>44to lugar</t>
  </si>
  <si>
    <t>ESTUDIANTE DESTACADO</t>
  </si>
  <si>
    <t>1er Semestre</t>
  </si>
  <si>
    <t>2do Semestre</t>
  </si>
  <si>
    <t>CENTRALIZADOR</t>
  </si>
  <si>
    <t>Lic. Jorge Aquin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</si>
  <si>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</si>
  <si>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</si>
  <si>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</si>
  <si>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</si>
  <si>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</si>
  <si>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</si>
  <si>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</si>
  <si>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</si>
  <si>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</si>
  <si>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</si>
  <si>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ASISTENCIA</t>
  </si>
  <si>
    <t>CONTROL DE ASISTENCIA OCTUBRE</t>
  </si>
  <si>
    <t>CONTROL DE ASISTENCIA NOVIEMBRE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</si>
</sst>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7030A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/>
      <diagonal/>
    </border>
    <border>
      <left/>
      <right style="thick">
        <color rgb="FF0070C0"/>
      </right>
      <top/>
      <bottom/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 style="thick">
        <color rgb="FF0070C0"/>
      </right>
      <top/>
      <bottom/>
      <diagonal/>
    </border>
    <border>
      <left style="thick">
        <color rgb="FF0070C0"/>
      </left>
      <right style="thick">
        <color rgb="FF0070C0"/>
      </right>
      <top/>
      <bottom style="thick">
        <color rgb="FF0070C0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rgb="FF0070C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6" fillId="0" borderId="0" xfId="0" applyFont="1"/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0" fillId="0" borderId="0" xfId="0" applyFont="1" applyAlignment="1">
      <alignment vertical="center"/>
    </xf>
    <xf numFmtId="0" fontId="1" fillId="0" borderId="0" xfId="0" applyFont="1" applyAlignment="1">
      <alignment horizontal="right" vertical="center" wrapText="1"/>
    </xf>
    <xf numFmtId="0" fontId="8" fillId="0" borderId="2" xfId="0" applyFont="1" applyBorder="1" applyAlignment="1">
      <alignment vertical="center"/>
    </xf>
    <xf numFmtId="14" fontId="8" fillId="0" borderId="2" xfId="0" applyNumberFormat="1" applyFont="1" applyBorder="1" applyAlignment="1">
      <alignment horizontal="left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 applyProtection="1">
      <alignment horizontal="left" vertical="center"/>
    </xf>
    <xf numFmtId="0" fontId="8" fillId="0" borderId="2" xfId="0" applyFont="1" applyBorder="1" applyAlignment="1">
      <alignment horizontal="center"/>
    </xf>
    <xf numFmtId="0" fontId="6" fillId="0" borderId="2" xfId="0" applyFont="1" applyBorder="1" applyAlignment="1">
      <alignment textRotation="90" wrapText="1"/>
    </xf>
    <xf numFmtId="0" fontId="6" fillId="0" borderId="2" xfId="0" applyFont="1" applyBorder="1" applyAlignment="1">
      <alignment horizontal="left" textRotation="90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hidden="1"/>
    </xf>
    <xf numFmtId="0" fontId="2" fillId="2" borderId="0" xfId="0" applyFont="1" applyFill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6" fillId="0" borderId="6" xfId="0" applyFont="1" applyBorder="1"/>
    <xf numFmtId="0" fontId="2" fillId="0" borderId="6" xfId="0" applyFont="1" applyBorder="1" applyAlignment="1">
      <alignment horizontal="center" vertical="center"/>
    </xf>
    <xf numFmtId="0" fontId="7" fillId="0" borderId="6" xfId="0" applyFont="1" applyBorder="1"/>
    <xf numFmtId="0" fontId="7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6" xfId="0" applyFont="1" applyBorder="1" applyProtection="1">
      <protection locked="0"/>
    </xf>
    <xf numFmtId="14" fontId="6" fillId="0" borderId="6" xfId="0" applyNumberFormat="1" applyFont="1" applyBorder="1" applyAlignment="1" applyProtection="1">
      <alignment horizontal="center" vertical="center"/>
      <protection locked="0"/>
    </xf>
    <xf numFmtId="14" fontId="6" fillId="0" borderId="6" xfId="0" applyNumberFormat="1" applyFont="1" applyBorder="1"/>
    <xf numFmtId="0" fontId="6" fillId="0" borderId="6" xfId="0" applyFont="1" applyBorder="1" applyAlignment="1" applyProtection="1">
      <alignment horizontal="left" vertical="center"/>
      <protection locked="0"/>
    </xf>
    <xf numFmtId="0" fontId="6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/>
    <xf numFmtId="0" fontId="12" fillId="0" borderId="6" xfId="0" applyFont="1" applyBorder="1" applyAlignment="1">
      <alignment textRotation="90"/>
    </xf>
    <xf numFmtId="0" fontId="6" fillId="0" borderId="11" xfId="0" applyFont="1" applyBorder="1"/>
    <xf numFmtId="0" fontId="8" fillId="0" borderId="6" xfId="0" applyFont="1" applyBorder="1"/>
    <xf numFmtId="0" fontId="11" fillId="0" borderId="6" xfId="0" applyFont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0" fontId="13" fillId="0" borderId="0" xfId="0" applyFont="1" applyAlignment="1">
      <alignment horizontal="right" vertical="center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locked="0"/>
    </xf>
    <xf numFmtId="0" fontId="7" fillId="0" borderId="6" xfId="0" applyFont="1" applyBorder="1" applyAlignment="1">
      <alignment horizontal="center" vertical="center" wrapText="1"/>
    </xf>
    <xf numFmtId="1" fontId="13" fillId="0" borderId="6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6" fillId="0" borderId="6" xfId="0" applyFont="1" applyBorder="1" applyAlignment="1">
      <alignment horizontal="left" vertical="center"/>
    </xf>
    <xf numFmtId="0" fontId="8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" fontId="6" fillId="0" borderId="11" xfId="0" applyNumberFormat="1" applyFont="1" applyBorder="1" applyAlignment="1" applyProtection="1">
      <alignment horizontal="center" vertical="center"/>
      <protection hidden="1"/>
    </xf>
    <xf numFmtId="0" fontId="13" fillId="0" borderId="0" xfId="0" applyFont="1"/>
    <xf numFmtId="1" fontId="1" fillId="0" borderId="6" xfId="0" applyNumberFormat="1" applyFont="1" applyBorder="1" applyAlignment="1" applyProtection="1">
      <alignment horizontal="center"/>
      <protection hidden="1"/>
    </xf>
    <xf numFmtId="0" fontId="0" fillId="0" borderId="6" xfId="0" applyBorder="1"/>
    <xf numFmtId="0" fontId="11" fillId="0" borderId="15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7" fillId="2" borderId="0" xfId="1" applyFont="1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8" fillId="2" borderId="17" xfId="1" applyFont="1" applyFill="1" applyBorder="1"/>
    <xf numFmtId="0" fontId="0" fillId="2" borderId="19" xfId="0" applyFill="1" applyBorder="1"/>
    <xf numFmtId="0" fontId="18" fillId="2" borderId="20" xfId="1" applyFont="1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5" xfId="0" applyFill="1" applyBorder="1"/>
    <xf numFmtId="2" fontId="0" fillId="0" borderId="1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/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0" fontId="0" fillId="0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3" fillId="0" borderId="8" xfId="0" applyFont="1" applyBorder="1" applyAlignment="1">
      <alignment horizontal="left" textRotation="90"/>
    </xf>
    <xf numFmtId="0" fontId="13" fillId="0" borderId="9" xfId="0" applyFont="1" applyBorder="1" applyAlignment="1">
      <alignment horizontal="left" textRotation="90"/>
    </xf>
    <xf numFmtId="0" fontId="13" fillId="0" borderId="10" xfId="0" applyFont="1" applyBorder="1" applyAlignment="1">
      <alignment horizontal="left" textRotation="90"/>
    </xf>
    <xf numFmtId="0" fontId="7" fillId="0" borderId="8" xfId="0" applyFont="1" applyBorder="1" applyAlignment="1">
      <alignment horizontal="left" textRotation="90"/>
    </xf>
    <xf numFmtId="0" fontId="7" fillId="0" borderId="9" xfId="0" applyFont="1" applyBorder="1" applyAlignment="1">
      <alignment horizontal="left" textRotation="90"/>
    </xf>
    <xf numFmtId="0" fontId="7" fillId="0" borderId="10" xfId="0" applyFont="1" applyBorder="1" applyAlignment="1">
      <alignment horizontal="left" textRotation="90"/>
    </xf>
    <xf numFmtId="0" fontId="13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2" fillId="0" borderId="7" xfId="0" applyFont="1" applyBorder="1" applyAlignment="1">
      <alignment horizontal="center" textRotation="90"/>
    </xf>
    <xf numFmtId="0" fontId="12" fillId="0" borderId="6" xfId="0" applyFont="1" applyBorder="1" applyAlignment="1">
      <alignment horizontal="center"/>
    </xf>
    <xf numFmtId="0" fontId="12" fillId="0" borderId="6" xfId="0" applyFont="1" applyBorder="1" applyAlignment="1">
      <alignment horizontal="center" textRotation="90"/>
    </xf>
    <xf numFmtId="0" fontId="12" fillId="0" borderId="6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textRotation="90"/>
    </xf>
    <xf numFmtId="0" fontId="12" fillId="0" borderId="9" xfId="0" applyFont="1" applyBorder="1" applyAlignment="1">
      <alignment horizontal="center" textRotation="90"/>
    </xf>
    <xf numFmtId="0" fontId="12" fillId="0" borderId="10" xfId="0" applyFont="1" applyBorder="1" applyAlignment="1">
      <alignment horizontal="center" textRotation="90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0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239064</xdr:colOff>
      <xdr:row>1</xdr:row>
      <xdr:rowOff>218931</xdr:rowOff>
    </xdr:from>
    <xdr:to>
      <xdr:col>10</xdr:col>
      <xdr:colOff>547687</xdr:colOff>
      <xdr:row>8</xdr:row>
      <xdr:rowOff>79373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2377" y="409431"/>
          <a:ext cx="1832623" cy="1241567"/>
        </a:xfrm>
        <a:prstGeom prst="rect">
          <a:avLst/>
        </a:prstGeom>
        <a:effectLst>
          <a:softEdge rad="127000"/>
        </a:effectLst>
      </xdr:spPr>
    </xdr:pic>
    <xdr:clientData/>
  </xdr:twoCellAnchor>
  <xdr:twoCellAnchor editAs="oneCell">
    <xdr:from>
      <xdr:col>0</xdr:col>
      <xdr:colOff>63501</xdr:colOff>
      <xdr:row>1</xdr:row>
      <xdr:rowOff>87313</xdr:rowOff>
    </xdr:from>
    <xdr:to>
      <xdr:col>2</xdr:col>
      <xdr:colOff>111126</xdr:colOff>
      <xdr:row>6</xdr:row>
      <xdr:rowOff>47626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277813"/>
          <a:ext cx="1055688" cy="1055688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6</xdr:row>
          <xdr:rowOff>47625</xdr:rowOff>
        </xdr:from>
        <xdr:to>
          <xdr:col>35</xdr:col>
          <xdr:colOff>476250</xdr:colOff>
          <xdr:row>6</xdr:row>
          <xdr:rowOff>495300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19050</xdr:colOff>
          <xdr:row>6</xdr:row>
          <xdr:rowOff>47625</xdr:rowOff>
        </xdr:from>
        <xdr:to>
          <xdr:col>35</xdr:col>
          <xdr:colOff>409575</xdr:colOff>
          <xdr:row>6</xdr:row>
          <xdr:rowOff>495300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19050</xdr:colOff>
          <xdr:row>6</xdr:row>
          <xdr:rowOff>47625</xdr:rowOff>
        </xdr:from>
        <xdr:to>
          <xdr:col>35</xdr:col>
          <xdr:colOff>409575</xdr:colOff>
          <xdr:row>6</xdr:row>
          <xdr:rowOff>495300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28575</xdr:colOff>
          <xdr:row>6</xdr:row>
          <xdr:rowOff>47625</xdr:rowOff>
        </xdr:from>
        <xdr:to>
          <xdr:col>35</xdr:col>
          <xdr:colOff>419100</xdr:colOff>
          <xdr:row>6</xdr:row>
          <xdr:rowOff>495300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</xdr:colOff>
          <xdr:row>6</xdr:row>
          <xdr:rowOff>47625</xdr:rowOff>
        </xdr:from>
        <xdr:to>
          <xdr:col>35</xdr:col>
          <xdr:colOff>428625</xdr:colOff>
          <xdr:row>6</xdr:row>
          <xdr:rowOff>495300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257175</xdr:colOff>
          <xdr:row>4</xdr:row>
          <xdr:rowOff>76200</xdr:rowOff>
        </xdr:from>
        <xdr:to>
          <xdr:col>26</xdr:col>
          <xdr:colOff>895350</xdr:colOff>
          <xdr:row>6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</xdr:colOff>
          <xdr:row>6</xdr:row>
          <xdr:rowOff>47625</xdr:rowOff>
        </xdr:from>
        <xdr:to>
          <xdr:col>35</xdr:col>
          <xdr:colOff>428625</xdr:colOff>
          <xdr:row>6</xdr:row>
          <xdr:rowOff>495300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</xdr:colOff>
          <xdr:row>6</xdr:row>
          <xdr:rowOff>47625</xdr:rowOff>
        </xdr:from>
        <xdr:to>
          <xdr:col>35</xdr:col>
          <xdr:colOff>428625</xdr:colOff>
          <xdr:row>6</xdr:row>
          <xdr:rowOff>495300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</xdr:colOff>
          <xdr:row>6</xdr:row>
          <xdr:rowOff>47625</xdr:rowOff>
        </xdr:from>
        <xdr:to>
          <xdr:col>35</xdr:col>
          <xdr:colOff>428625</xdr:colOff>
          <xdr:row>6</xdr:row>
          <xdr:rowOff>495300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</xdr:colOff>
          <xdr:row>6</xdr:row>
          <xdr:rowOff>47625</xdr:rowOff>
        </xdr:from>
        <xdr:to>
          <xdr:col>35</xdr:col>
          <xdr:colOff>428625</xdr:colOff>
          <xdr:row>6</xdr:row>
          <xdr:rowOff>495300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</xdr:colOff>
          <xdr:row>6</xdr:row>
          <xdr:rowOff>47625</xdr:rowOff>
        </xdr:from>
        <xdr:to>
          <xdr:col>35</xdr:col>
          <xdr:colOff>428625</xdr:colOff>
          <xdr:row>6</xdr:row>
          <xdr:rowOff>495300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257175</xdr:colOff>
          <xdr:row>4</xdr:row>
          <xdr:rowOff>76200</xdr:rowOff>
        </xdr:from>
        <xdr:to>
          <xdr:col>26</xdr:col>
          <xdr:colOff>895350</xdr:colOff>
          <xdr:row>6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7</xdr:row>
          <xdr:rowOff>19050</xdr:rowOff>
        </xdr:from>
        <xdr:to>
          <xdr:col>6</xdr:col>
          <xdr:colOff>200025</xdr:colOff>
          <xdr:row>9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962025</xdr:colOff>
          <xdr:row>11</xdr:row>
          <xdr:rowOff>114300</xdr:rowOff>
        </xdr:from>
        <xdr:to>
          <xdr:col>9</xdr:col>
          <xdr:colOff>180975</xdr:colOff>
          <xdr:row>13</xdr:row>
          <xdr:rowOff>133350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CARÁTULA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8659</xdr:colOff>
      <xdr:row>15</xdr:row>
      <xdr:rowOff>17319</xdr:rowOff>
    </xdr:from>
    <xdr:to>
      <xdr:col>9</xdr:col>
      <xdr:colOff>372341</xdr:colOff>
      <xdr:row>17</xdr:row>
      <xdr:rowOff>8659</xdr:rowOff>
    </xdr:to>
    <xdr:sp macro="[0]!DESTACADOS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715000" y="1965614"/>
          <a:ext cx="1125682" cy="320386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5713-C936-48B5-B742-D18A950B6629}">
  <sheetPr codeName="Hoja2">
    <tabColor theme="9" tint="-0.499984740745262"/>
  </sheetPr>
  <dimension ref="C2:L31"/>
  <sheetViews>
    <sheetView tabSelected="1" zoomScaleNormal="100" workbookViewId="0">
      <selection activeCell="J29" sqref="J29"/>
    </sheetView>
  </sheetViews>
  <sheetFormatPr baseColWidth="10" defaultRowHeight="15" x14ac:dyDescent="0.25"/>
  <cols>
    <col min="1" max="1" width="3.7109375" style="1" customWidth="1"/>
    <col min="2" max="4" width="11.42578125" style="1"/>
    <col min="5" max="5" width="1.42578125" style="1" customWidth="1"/>
    <col min="6" max="16384" width="11.42578125" style="1"/>
  </cols>
  <sheetData>
    <row r="2" spans="3:10" ht="26.25" x14ac:dyDescent="0.25">
      <c r="C2" s="82" t="s">
        <v>18</v>
      </c>
      <c r="D2" s="82"/>
      <c r="E2" s="82"/>
      <c r="F2" s="82"/>
      <c r="G2" s="82"/>
      <c r="H2" s="82"/>
      <c r="I2" s="82"/>
    </row>
    <row r="6" spans="3:10" x14ac:dyDescent="0.25">
      <c r="C6" s="83" t="s">
        <v>0</v>
      </c>
      <c r="D6" s="83"/>
      <c r="E6" s="2" t="s">
        <v>10</v>
      </c>
      <c r="F6" s="5" t="s">
        <v>11</v>
      </c>
    </row>
    <row r="7" spans="3:10" ht="8.1" customHeight="1" x14ac:dyDescent="0.25">
      <c r="C7" s="3"/>
      <c r="D7" s="3"/>
      <c r="E7" s="2"/>
    </row>
    <row r="8" spans="3:10" x14ac:dyDescent="0.25">
      <c r="C8" s="83" t="s">
        <v>1</v>
      </c>
      <c r="D8" s="83"/>
      <c r="E8" s="2" t="s">
        <v>10</v>
      </c>
      <c r="F8" s="86" t="s">
        <v>12</v>
      </c>
      <c r="G8" s="86"/>
      <c r="H8" s="86"/>
    </row>
    <row r="9" spans="3:10" ht="8.1" customHeight="1" x14ac:dyDescent="0.25">
      <c r="C9" s="3"/>
      <c r="D9" s="3"/>
      <c r="E9" s="2"/>
    </row>
    <row r="10" spans="3:10" x14ac:dyDescent="0.25">
      <c r="C10" s="3"/>
      <c r="D10" s="4" t="s">
        <v>2</v>
      </c>
      <c r="E10" s="2" t="s">
        <v>10</v>
      </c>
      <c r="F10" s="85" t="s">
        <v>13</v>
      </c>
      <c r="G10" s="85"/>
      <c r="H10" s="85"/>
    </row>
    <row r="11" spans="3:10" ht="8.1" customHeight="1" x14ac:dyDescent="0.25">
      <c r="C11" s="3"/>
      <c r="D11" s="3"/>
      <c r="E11" s="2"/>
    </row>
    <row r="12" spans="3:10" x14ac:dyDescent="0.25">
      <c r="C12" s="84" t="s">
        <v>3</v>
      </c>
      <c r="D12" s="84"/>
      <c r="E12" s="2" t="s">
        <v>10</v>
      </c>
      <c r="F12" s="86" t="s">
        <v>14</v>
      </c>
      <c r="G12" s="86"/>
      <c r="H12" s="86"/>
      <c r="J12" s="69" t="s">
        <v>123</v>
      </c>
    </row>
    <row r="13" spans="3:10" ht="8.1" customHeight="1" x14ac:dyDescent="0.25">
      <c r="C13" s="3"/>
      <c r="D13" s="3"/>
      <c r="E13" s="2"/>
    </row>
    <row r="14" spans="3:10" x14ac:dyDescent="0.25">
      <c r="C14" s="4"/>
      <c r="D14" s="4" t="s">
        <v>52</v>
      </c>
      <c r="E14" s="2" t="s">
        <v>10</v>
      </c>
      <c r="F14" s="86"/>
      <c r="G14" s="86"/>
      <c r="H14" s="86"/>
      <c r="J14" s="69" t="s">
        <v>124</v>
      </c>
    </row>
    <row r="15" spans="3:10" ht="8.1" customHeight="1" x14ac:dyDescent="0.25">
      <c r="C15" s="4"/>
      <c r="D15" s="4"/>
      <c r="E15" s="2"/>
    </row>
    <row r="16" spans="3:10" x14ac:dyDescent="0.25">
      <c r="C16" s="4"/>
      <c r="D16" s="4" t="s">
        <v>4</v>
      </c>
      <c r="E16" s="2" t="s">
        <v>10</v>
      </c>
      <c r="F16" s="86" t="s">
        <v>20</v>
      </c>
      <c r="G16" s="86"/>
      <c r="H16" s="86"/>
      <c r="J16" s="69" t="s">
        <v>125</v>
      </c>
    </row>
    <row r="17" spans="3:12" ht="8.1" customHeight="1" x14ac:dyDescent="0.25">
      <c r="C17" s="4"/>
      <c r="D17" s="4"/>
      <c r="E17" s="2"/>
    </row>
    <row r="18" spans="3:12" x14ac:dyDescent="0.25">
      <c r="C18" s="4"/>
      <c r="D18" s="4" t="s">
        <v>5</v>
      </c>
      <c r="E18" s="2" t="s">
        <v>10</v>
      </c>
      <c r="F18" s="86" t="s">
        <v>39</v>
      </c>
      <c r="G18" s="86"/>
      <c r="H18" s="86"/>
      <c r="J18" s="69" t="s">
        <v>122</v>
      </c>
    </row>
    <row r="19" spans="3:12" ht="8.1" customHeight="1" thickBot="1" x14ac:dyDescent="0.3">
      <c r="C19" s="4"/>
      <c r="D19" s="4"/>
      <c r="E19" s="2"/>
    </row>
    <row r="20" spans="3:12" ht="16.5" thickTop="1" thickBot="1" x14ac:dyDescent="0.3">
      <c r="C20" s="4"/>
      <c r="D20" s="4" t="s">
        <v>6</v>
      </c>
      <c r="E20" s="2" t="s">
        <v>10</v>
      </c>
      <c r="F20" s="86" t="s">
        <v>15</v>
      </c>
      <c r="G20" s="86"/>
      <c r="H20" s="86"/>
      <c r="J20" s="87" t="s">
        <v>137</v>
      </c>
      <c r="K20" s="88"/>
      <c r="L20" s="89"/>
    </row>
    <row r="21" spans="3:12" ht="8.1" customHeight="1" thickTop="1" thickBot="1" x14ac:dyDescent="0.3">
      <c r="C21" s="4"/>
      <c r="D21" s="4"/>
      <c r="E21" s="2"/>
      <c r="K21" s="78"/>
    </row>
    <row r="22" spans="3:12" ht="15.75" thickTop="1" x14ac:dyDescent="0.25">
      <c r="C22" s="4"/>
      <c r="D22" s="4" t="s">
        <v>7</v>
      </c>
      <c r="E22" s="2" t="s">
        <v>10</v>
      </c>
      <c r="F22" s="90" t="s">
        <v>16</v>
      </c>
      <c r="G22" s="90"/>
      <c r="H22" s="90"/>
      <c r="J22" s="74"/>
      <c r="K22" s="74"/>
      <c r="L22" s="70"/>
    </row>
    <row r="23" spans="3:12" x14ac:dyDescent="0.25">
      <c r="C23" s="4"/>
      <c r="D23" s="4"/>
      <c r="E23" s="2"/>
      <c r="F23" s="90"/>
      <c r="G23" s="90"/>
      <c r="H23" s="90"/>
      <c r="J23" s="75" t="s">
        <v>127</v>
      </c>
      <c r="K23" s="75" t="s">
        <v>128</v>
      </c>
      <c r="L23" s="73" t="s">
        <v>129</v>
      </c>
    </row>
    <row r="24" spans="3:12" ht="8.1" customHeight="1" x14ac:dyDescent="0.25">
      <c r="C24" s="4"/>
      <c r="D24" s="4"/>
      <c r="E24" s="2"/>
      <c r="J24" s="76"/>
      <c r="K24" s="76"/>
      <c r="L24" s="71"/>
    </row>
    <row r="25" spans="3:12" x14ac:dyDescent="0.25">
      <c r="C25" s="84" t="s">
        <v>8</v>
      </c>
      <c r="D25" s="84"/>
      <c r="E25" s="2" t="s">
        <v>10</v>
      </c>
      <c r="F25" s="86" t="s">
        <v>17</v>
      </c>
      <c r="G25" s="86"/>
      <c r="H25" s="86"/>
      <c r="J25" s="75" t="s">
        <v>130</v>
      </c>
      <c r="K25" s="75" t="s">
        <v>131</v>
      </c>
      <c r="L25" s="73" t="s">
        <v>132</v>
      </c>
    </row>
    <row r="26" spans="3:12" ht="8.1" customHeight="1" x14ac:dyDescent="0.25">
      <c r="C26" s="4"/>
      <c r="D26" s="4"/>
      <c r="E26" s="2"/>
      <c r="J26" s="76"/>
      <c r="K26" s="76"/>
      <c r="L26" s="71"/>
    </row>
    <row r="27" spans="3:12" x14ac:dyDescent="0.25">
      <c r="C27" s="4"/>
      <c r="D27" s="4" t="s">
        <v>9</v>
      </c>
      <c r="E27" s="2" t="s">
        <v>10</v>
      </c>
      <c r="F27" s="6">
        <v>2022</v>
      </c>
      <c r="J27" s="75" t="s">
        <v>133</v>
      </c>
      <c r="K27" s="75" t="s">
        <v>134</v>
      </c>
      <c r="L27" s="73" t="s">
        <v>135</v>
      </c>
    </row>
    <row r="28" spans="3:12" x14ac:dyDescent="0.25">
      <c r="J28" s="76"/>
      <c r="K28" s="76"/>
      <c r="L28" s="71"/>
    </row>
    <row r="29" spans="3:12" x14ac:dyDescent="0.25">
      <c r="C29" s="1" t="s">
        <v>126</v>
      </c>
      <c r="D29" s="31"/>
      <c r="J29" s="75" t="s">
        <v>136</v>
      </c>
      <c r="K29" s="76"/>
      <c r="L29" s="71"/>
    </row>
    <row r="30" spans="3:12" ht="15.75" thickBot="1" x14ac:dyDescent="0.3">
      <c r="J30" s="77"/>
      <c r="K30" s="77"/>
      <c r="L30" s="72"/>
    </row>
    <row r="31" spans="3:12" ht="15.75" thickTop="1" x14ac:dyDescent="0.25"/>
  </sheetData>
  <sheetProtection algorithmName="SHA-512" hashValue="yuFzO8tNoOMgsh1B7sW7aBGpuwYbfc23WXm/d7NDRj8xgfuRFYmt70iIqRYWCg/zqmd1tugbGqx45VcE2ThfEA==" saltValue="FtWewHHEufd/gBHszRPPTA==" spinCount="100000" sheet="1" objects="1" scenarios="1"/>
  <mergeCells count="15">
    <mergeCell ref="J20:L20"/>
    <mergeCell ref="F20:H20"/>
    <mergeCell ref="F22:H23"/>
    <mergeCell ref="F25:H25"/>
    <mergeCell ref="F8:H8"/>
    <mergeCell ref="C2:I2"/>
    <mergeCell ref="C6:D6"/>
    <mergeCell ref="C8:D8"/>
    <mergeCell ref="C12:D12"/>
    <mergeCell ref="C25:D25"/>
    <mergeCell ref="F10:H10"/>
    <mergeCell ref="F12:H12"/>
    <mergeCell ref="F14:H14"/>
    <mergeCell ref="F16:H16"/>
    <mergeCell ref="F18:H18"/>
  </mergeCells>
  <hyperlinks>
    <hyperlink ref="J12" location="'1er SEM'!A1" display="1er Semestre" xr:uid="{F29EF015-0275-402C-A5EC-263C0C74D372}"/>
    <hyperlink ref="J14" location="'2DO SEM '!A1" display="2do Semestre" xr:uid="{EE69BD97-84DD-4276-9E64-D9BAF7BA5A41}"/>
    <hyperlink ref="J16" location="CENTRALIZ!A1" display="CENTRALIZADOR" xr:uid="{4DFA0163-9188-45E5-A785-73EF581499A4}"/>
    <hyperlink ref="J18" location="EST_DEST!A1" display="ESTUDIANTE DESTACADO" xr:uid="{B6FDC376-04B7-41A2-897F-5E77C2BE8291}"/>
    <hyperlink ref="J23" location="'ASIST FEB'!A1" display="FEBRERO" xr:uid="{028A3724-7769-4F00-B6F4-407AC40C86C3}"/>
    <hyperlink ref="K23" location="'ASIST MAR'!A1" display="MARZO" xr:uid="{C287BD41-2E95-4649-8C6F-DCE3FDC309F0}"/>
    <hyperlink ref="L23" location="'ASIST ABR'!A1" display="ABRIL" xr:uid="{E98836B6-6A7E-43F5-83F7-136012FFE538}"/>
    <hyperlink ref="J25" location="'ASIST MAY'!A1" display="MAYO" xr:uid="{4D28ADA1-59F5-46FD-B774-EACA41973FCA}"/>
    <hyperlink ref="K25" location="'ASIST JUN'!A1" display="JUNIO" xr:uid="{68C1811B-4401-4BC3-9B50-DFB996F23B13}"/>
    <hyperlink ref="L25" location="'ASIST JUL '!A1" display="JULIO" xr:uid="{01593EDD-78ED-4FF8-92EA-E73F8CD51288}"/>
    <hyperlink ref="J27" location="'ASIST AGO'!A1" display="AGOSTO" xr:uid="{43CD8FB9-4677-4D42-A08D-D4328C3F2FD1}"/>
    <hyperlink ref="K27" location="'ASIST SEPT'!A1" display="SEPTIEMBRE" xr:uid="{9D885B42-137C-45B6-85B0-65695CE435C1}"/>
    <hyperlink ref="L27" location="'ASIST OCT'!A1" display="OCTUBRE" xr:uid="{1E1EA0F2-C02B-4D69-A81D-D20F21808C77}"/>
    <hyperlink ref="J29" location="'ASIST NOV'!A1" display="NOVIEMBRE" xr:uid="{77C33C5E-47C9-44C6-8444-5B247DB090FB}"/>
  </hyperlinks>
  <pageMargins left="0" right="0" top="0" bottom="0" header="0" footer="0.31496062992125984"/>
  <pageSetup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9856A-DC81-49FF-B4BC-61A78978C481}">
  <sheetPr codeName="Hoja3">
    <tabColor theme="7" tint="-0.499984740745262"/>
  </sheetPr>
  <dimension ref="A1:L41"/>
  <sheetViews>
    <sheetView zoomScale="120" zoomScaleNormal="120" workbookViewId="0">
      <selection activeCell="B17" sqref="B17"/>
    </sheetView>
  </sheetViews>
  <sheetFormatPr baseColWidth="10" defaultRowHeight="15" x14ac:dyDescent="0.25"/>
  <cols>
    <col min="1" max="1" width="3" style="7" customWidth="1"/>
    <col min="2" max="2" width="30.42578125" customWidth="1"/>
    <col min="3" max="3" width="11.5703125" customWidth="1"/>
    <col min="4" max="4" width="11.85546875" hidden="1" customWidth="1"/>
    <col min="5" max="5" width="6.7109375" customWidth="1"/>
    <col min="6" max="6" width="21.28515625" customWidth="1"/>
    <col min="7" max="7" width="12" customWidth="1"/>
    <col min="8" max="8" width="18.85546875" customWidth="1"/>
    <col min="9" max="9" width="13.140625" customWidth="1"/>
  </cols>
  <sheetData>
    <row r="1" spans="1:12" ht="8.1" customHeight="1" x14ac:dyDescent="0.25"/>
    <row r="2" spans="1:12" ht="21" x14ac:dyDescent="0.25">
      <c r="C2" s="91" t="s">
        <v>19</v>
      </c>
      <c r="D2" s="91"/>
      <c r="E2" s="91"/>
      <c r="F2" s="91"/>
      <c r="G2" s="91"/>
      <c r="H2" s="91"/>
      <c r="I2" s="91"/>
    </row>
    <row r="3" spans="1:12" x14ac:dyDescent="0.25">
      <c r="B3" s="10" t="s">
        <v>3</v>
      </c>
      <c r="C3" s="7" t="str">
        <f>CARÁTULA!$F$12</f>
        <v>SAGRADA FAMILIA III</v>
      </c>
      <c r="D3" s="7"/>
      <c r="E3" s="7"/>
      <c r="F3" s="7"/>
      <c r="G3" s="12" t="s">
        <v>8</v>
      </c>
      <c r="H3" s="7" t="str">
        <f>CARÁTULA!$F$25</f>
        <v>SISTEMAS COMPUTACIONALES</v>
      </c>
      <c r="I3" s="7"/>
      <c r="J3" s="7"/>
      <c r="K3" s="7"/>
      <c r="L3" s="7"/>
    </row>
    <row r="4" spans="1:12" x14ac:dyDescent="0.25">
      <c r="B4" s="11" t="s">
        <v>4</v>
      </c>
      <c r="C4" s="7" t="str">
        <f>CARÁTULA!$F$16</f>
        <v>MARÍA DE LOS JARICHIS</v>
      </c>
      <c r="D4" s="7"/>
      <c r="E4" s="7"/>
      <c r="F4" s="7"/>
      <c r="G4" s="8" t="s">
        <v>21</v>
      </c>
      <c r="H4" s="9">
        <f>CARÁTULA!$F$27</f>
        <v>2022</v>
      </c>
      <c r="I4" s="7"/>
      <c r="J4" s="7"/>
      <c r="K4" s="7"/>
      <c r="L4" s="7"/>
    </row>
    <row r="5" spans="1:12" ht="8.1" customHeight="1" x14ac:dyDescent="0.25">
      <c r="B5" s="7"/>
      <c r="C5" s="7"/>
      <c r="D5" s="7"/>
      <c r="E5" s="7"/>
      <c r="F5" s="7"/>
      <c r="G5" s="7"/>
      <c r="H5" s="7"/>
      <c r="I5" s="7"/>
      <c r="J5" s="7"/>
      <c r="K5" s="7"/>
      <c r="L5" s="7"/>
    </row>
    <row r="6" spans="1:12" x14ac:dyDescent="0.25">
      <c r="A6" s="33" t="s">
        <v>23</v>
      </c>
      <c r="B6" s="34" t="s">
        <v>22</v>
      </c>
      <c r="C6" s="35" t="s">
        <v>24</v>
      </c>
      <c r="D6" s="35"/>
      <c r="E6" s="36" t="s">
        <v>25</v>
      </c>
      <c r="F6" s="36" t="s">
        <v>30</v>
      </c>
      <c r="G6" s="36" t="s">
        <v>26</v>
      </c>
      <c r="H6" s="36" t="s">
        <v>27</v>
      </c>
      <c r="I6" s="36" t="s">
        <v>28</v>
      </c>
      <c r="J6" s="36" t="s">
        <v>29</v>
      </c>
      <c r="K6" s="7"/>
      <c r="L6" s="7"/>
    </row>
    <row r="7" spans="1:12" ht="14.1" customHeight="1" x14ac:dyDescent="0.25">
      <c r="A7" s="37">
        <v>1</v>
      </c>
      <c r="B7" s="38" t="s">
        <v>31</v>
      </c>
      <c r="C7" s="39">
        <v>36779</v>
      </c>
      <c r="D7" s="40">
        <f ca="1">TODAY()</f>
        <v>44575</v>
      </c>
      <c r="E7" s="37">
        <f ca="1">INT((D7-C7)/365)</f>
        <v>21</v>
      </c>
      <c r="F7" s="41"/>
      <c r="G7" s="42">
        <v>3166376</v>
      </c>
      <c r="H7" s="38"/>
      <c r="I7" s="38"/>
      <c r="J7" s="42">
        <v>78194760</v>
      </c>
      <c r="K7" s="7"/>
      <c r="L7" s="7"/>
    </row>
    <row r="8" spans="1:12" ht="14.1" customHeight="1" x14ac:dyDescent="0.25">
      <c r="A8" s="37">
        <v>2</v>
      </c>
      <c r="B8" s="38" t="s">
        <v>32</v>
      </c>
      <c r="C8" s="39">
        <v>36302</v>
      </c>
      <c r="D8" s="40">
        <f t="shared" ref="D8:D41" ca="1" si="0">TODAY()</f>
        <v>44575</v>
      </c>
      <c r="E8" s="37">
        <f t="shared" ref="E8:E41" ca="1" si="1">INT((D8-C8)/365)</f>
        <v>22</v>
      </c>
      <c r="F8" s="41"/>
      <c r="G8" s="42"/>
      <c r="H8" s="38"/>
      <c r="I8" s="38"/>
      <c r="J8" s="42"/>
      <c r="K8" s="7"/>
      <c r="L8" s="7"/>
    </row>
    <row r="9" spans="1:12" ht="14.1" customHeight="1" x14ac:dyDescent="0.25">
      <c r="A9" s="37">
        <v>3</v>
      </c>
      <c r="B9" s="38" t="s">
        <v>33</v>
      </c>
      <c r="C9" s="39">
        <v>36303</v>
      </c>
      <c r="D9" s="40">
        <f t="shared" ca="1" si="0"/>
        <v>44575</v>
      </c>
      <c r="E9" s="37">
        <f t="shared" ca="1" si="1"/>
        <v>22</v>
      </c>
      <c r="F9" s="41"/>
      <c r="G9" s="42"/>
      <c r="H9" s="38"/>
      <c r="I9" s="38"/>
      <c r="J9" s="42"/>
      <c r="K9" s="7"/>
      <c r="L9" s="7"/>
    </row>
    <row r="10" spans="1:12" ht="14.1" customHeight="1" x14ac:dyDescent="0.25">
      <c r="A10" s="37">
        <v>4</v>
      </c>
      <c r="B10" s="38"/>
      <c r="C10" s="39">
        <v>36304</v>
      </c>
      <c r="D10" s="40">
        <f t="shared" ca="1" si="0"/>
        <v>44575</v>
      </c>
      <c r="E10" s="37">
        <f t="shared" ca="1" si="1"/>
        <v>22</v>
      </c>
      <c r="F10" s="41"/>
      <c r="G10" s="42"/>
      <c r="H10" s="38"/>
      <c r="I10" s="38"/>
      <c r="J10" s="42"/>
      <c r="K10" s="7"/>
      <c r="L10" s="7"/>
    </row>
    <row r="11" spans="1:12" ht="14.1" customHeight="1" x14ac:dyDescent="0.25">
      <c r="A11" s="37">
        <v>5</v>
      </c>
      <c r="B11" s="38"/>
      <c r="C11" s="39">
        <v>36305</v>
      </c>
      <c r="D11" s="40">
        <f t="shared" ca="1" si="0"/>
        <v>44575</v>
      </c>
      <c r="E11" s="37">
        <f t="shared" ca="1" si="1"/>
        <v>22</v>
      </c>
      <c r="F11" s="41"/>
      <c r="G11" s="42"/>
      <c r="H11" s="38"/>
      <c r="I11" s="38"/>
      <c r="J11" s="42"/>
      <c r="K11" s="7"/>
      <c r="L11" s="7"/>
    </row>
    <row r="12" spans="1:12" ht="14.1" customHeight="1" x14ac:dyDescent="0.25">
      <c r="A12" s="37">
        <v>6</v>
      </c>
      <c r="B12" s="38"/>
      <c r="C12" s="39">
        <v>36306</v>
      </c>
      <c r="D12" s="40">
        <f t="shared" ca="1" si="0"/>
        <v>44575</v>
      </c>
      <c r="E12" s="37">
        <f t="shared" ca="1" si="1"/>
        <v>22</v>
      </c>
      <c r="F12" s="41"/>
      <c r="G12" s="42"/>
      <c r="H12" s="38"/>
      <c r="I12" s="38"/>
      <c r="J12" s="42"/>
      <c r="K12" s="7"/>
      <c r="L12" s="7"/>
    </row>
    <row r="13" spans="1:12" ht="14.1" customHeight="1" x14ac:dyDescent="0.25">
      <c r="A13" s="37">
        <v>7</v>
      </c>
      <c r="B13" s="38"/>
      <c r="C13" s="39">
        <v>36307</v>
      </c>
      <c r="D13" s="40">
        <f t="shared" ca="1" si="0"/>
        <v>44575</v>
      </c>
      <c r="E13" s="37">
        <f t="shared" ca="1" si="1"/>
        <v>22</v>
      </c>
      <c r="F13" s="41"/>
      <c r="G13" s="42"/>
      <c r="H13" s="38"/>
      <c r="I13" s="38"/>
      <c r="J13" s="42"/>
      <c r="K13" s="7"/>
      <c r="L13" s="7"/>
    </row>
    <row r="14" spans="1:12" ht="14.1" customHeight="1" x14ac:dyDescent="0.25">
      <c r="A14" s="37">
        <v>8</v>
      </c>
      <c r="B14" s="38"/>
      <c r="C14" s="39">
        <v>36308</v>
      </c>
      <c r="D14" s="40">
        <f t="shared" ca="1" si="0"/>
        <v>44575</v>
      </c>
      <c r="E14" s="37">
        <f t="shared" ca="1" si="1"/>
        <v>22</v>
      </c>
      <c r="F14" s="41"/>
      <c r="G14" s="42"/>
      <c r="H14" s="38"/>
      <c r="I14" s="38"/>
      <c r="J14" s="42"/>
      <c r="K14" s="7"/>
      <c r="L14" s="7"/>
    </row>
    <row r="15" spans="1:12" ht="14.1" customHeight="1" x14ac:dyDescent="0.25">
      <c r="A15" s="37">
        <v>9</v>
      </c>
      <c r="B15" s="38"/>
      <c r="C15" s="39">
        <v>36309</v>
      </c>
      <c r="D15" s="40">
        <f t="shared" ca="1" si="0"/>
        <v>44575</v>
      </c>
      <c r="E15" s="37">
        <f t="shared" ca="1" si="1"/>
        <v>22</v>
      </c>
      <c r="F15" s="41"/>
      <c r="G15" s="42"/>
      <c r="H15" s="38"/>
      <c r="I15" s="38"/>
      <c r="J15" s="42"/>
      <c r="K15" s="7"/>
      <c r="L15" s="7"/>
    </row>
    <row r="16" spans="1:12" ht="14.1" customHeight="1" x14ac:dyDescent="0.25">
      <c r="A16" s="37">
        <v>10</v>
      </c>
      <c r="B16" s="38"/>
      <c r="C16" s="39">
        <v>36310</v>
      </c>
      <c r="D16" s="40">
        <f t="shared" ca="1" si="0"/>
        <v>44575</v>
      </c>
      <c r="E16" s="37">
        <f t="shared" ca="1" si="1"/>
        <v>22</v>
      </c>
      <c r="F16" s="41"/>
      <c r="G16" s="42"/>
      <c r="H16" s="38"/>
      <c r="I16" s="38"/>
      <c r="J16" s="42"/>
      <c r="K16" s="7"/>
      <c r="L16" s="7"/>
    </row>
    <row r="17" spans="1:12" ht="14.1" customHeight="1" x14ac:dyDescent="0.25">
      <c r="A17" s="37">
        <v>11</v>
      </c>
      <c r="B17" s="38"/>
      <c r="C17" s="39">
        <v>36311</v>
      </c>
      <c r="D17" s="40">
        <f t="shared" ca="1" si="0"/>
        <v>44575</v>
      </c>
      <c r="E17" s="37">
        <f t="shared" ca="1" si="1"/>
        <v>22</v>
      </c>
      <c r="F17" s="41"/>
      <c r="G17" s="42"/>
      <c r="H17" s="38"/>
      <c r="I17" s="38"/>
      <c r="J17" s="42"/>
      <c r="K17" s="7"/>
      <c r="L17" s="7"/>
    </row>
    <row r="18" spans="1:12" ht="14.1" customHeight="1" x14ac:dyDescent="0.25">
      <c r="A18" s="37">
        <v>12</v>
      </c>
      <c r="B18" s="38"/>
      <c r="C18" s="39">
        <v>36312</v>
      </c>
      <c r="D18" s="40">
        <f t="shared" ca="1" si="0"/>
        <v>44575</v>
      </c>
      <c r="E18" s="37">
        <f t="shared" ca="1" si="1"/>
        <v>22</v>
      </c>
      <c r="F18" s="41"/>
      <c r="G18" s="42"/>
      <c r="H18" s="38"/>
      <c r="I18" s="38"/>
      <c r="J18" s="42"/>
      <c r="K18" s="7"/>
      <c r="L18" s="7"/>
    </row>
    <row r="19" spans="1:12" ht="14.1" customHeight="1" x14ac:dyDescent="0.25">
      <c r="A19" s="37">
        <v>13</v>
      </c>
      <c r="B19" s="38"/>
      <c r="C19" s="39">
        <v>36313</v>
      </c>
      <c r="D19" s="40">
        <f t="shared" ca="1" si="0"/>
        <v>44575</v>
      </c>
      <c r="E19" s="37">
        <f t="shared" ca="1" si="1"/>
        <v>22</v>
      </c>
      <c r="F19" s="41"/>
      <c r="G19" s="42"/>
      <c r="H19" s="38"/>
      <c r="I19" s="38"/>
      <c r="J19" s="42"/>
      <c r="K19" s="7"/>
      <c r="L19" s="7"/>
    </row>
    <row r="20" spans="1:12" ht="14.1" customHeight="1" x14ac:dyDescent="0.25">
      <c r="A20" s="37">
        <v>14</v>
      </c>
      <c r="B20" s="38"/>
      <c r="C20" s="39">
        <v>36314</v>
      </c>
      <c r="D20" s="40">
        <f t="shared" ca="1" si="0"/>
        <v>44575</v>
      </c>
      <c r="E20" s="37">
        <f t="shared" ca="1" si="1"/>
        <v>22</v>
      </c>
      <c r="F20" s="41"/>
      <c r="G20" s="42"/>
      <c r="H20" s="38"/>
      <c r="I20" s="38"/>
      <c r="J20" s="42"/>
      <c r="K20" s="7"/>
      <c r="L20" s="7"/>
    </row>
    <row r="21" spans="1:12" ht="14.1" customHeight="1" x14ac:dyDescent="0.25">
      <c r="A21" s="37">
        <v>15</v>
      </c>
      <c r="B21" s="38"/>
      <c r="C21" s="39">
        <v>36315</v>
      </c>
      <c r="D21" s="40">
        <f t="shared" ca="1" si="0"/>
        <v>44575</v>
      </c>
      <c r="E21" s="37">
        <f t="shared" ca="1" si="1"/>
        <v>22</v>
      </c>
      <c r="F21" s="41"/>
      <c r="G21" s="42"/>
      <c r="H21" s="38"/>
      <c r="I21" s="38"/>
      <c r="J21" s="42"/>
      <c r="K21" s="7"/>
      <c r="L21" s="7"/>
    </row>
    <row r="22" spans="1:12" ht="14.1" customHeight="1" x14ac:dyDescent="0.25">
      <c r="A22" s="37">
        <v>16</v>
      </c>
      <c r="B22" s="38"/>
      <c r="C22" s="39">
        <v>36316</v>
      </c>
      <c r="D22" s="40">
        <f t="shared" ca="1" si="0"/>
        <v>44575</v>
      </c>
      <c r="E22" s="37">
        <f t="shared" ca="1" si="1"/>
        <v>22</v>
      </c>
      <c r="F22" s="41"/>
      <c r="G22" s="42"/>
      <c r="H22" s="38"/>
      <c r="I22" s="38"/>
      <c r="J22" s="42"/>
      <c r="K22" s="7"/>
      <c r="L22" s="7"/>
    </row>
    <row r="23" spans="1:12" ht="14.1" customHeight="1" x14ac:dyDescent="0.25">
      <c r="A23" s="37">
        <v>17</v>
      </c>
      <c r="B23" s="38"/>
      <c r="C23" s="39">
        <v>36317</v>
      </c>
      <c r="D23" s="40">
        <f t="shared" ca="1" si="0"/>
        <v>44575</v>
      </c>
      <c r="E23" s="37">
        <f t="shared" ca="1" si="1"/>
        <v>22</v>
      </c>
      <c r="F23" s="41"/>
      <c r="G23" s="42"/>
      <c r="H23" s="38"/>
      <c r="I23" s="38"/>
      <c r="J23" s="42"/>
      <c r="K23" s="7"/>
      <c r="L23" s="7"/>
    </row>
    <row r="24" spans="1:12" ht="14.1" customHeight="1" x14ac:dyDescent="0.25">
      <c r="A24" s="37">
        <v>18</v>
      </c>
      <c r="B24" s="38"/>
      <c r="C24" s="39">
        <v>36318</v>
      </c>
      <c r="D24" s="40">
        <f t="shared" ca="1" si="0"/>
        <v>44575</v>
      </c>
      <c r="E24" s="37">
        <f t="shared" ca="1" si="1"/>
        <v>22</v>
      </c>
      <c r="F24" s="41"/>
      <c r="G24" s="42"/>
      <c r="H24" s="38"/>
      <c r="I24" s="38"/>
      <c r="J24" s="42"/>
      <c r="K24" s="7"/>
      <c r="L24" s="7"/>
    </row>
    <row r="25" spans="1:12" ht="14.1" customHeight="1" x14ac:dyDescent="0.25">
      <c r="A25" s="37">
        <v>19</v>
      </c>
      <c r="B25" s="38"/>
      <c r="C25" s="39">
        <v>36319</v>
      </c>
      <c r="D25" s="40">
        <f t="shared" ca="1" si="0"/>
        <v>44575</v>
      </c>
      <c r="E25" s="37">
        <f t="shared" ca="1" si="1"/>
        <v>22</v>
      </c>
      <c r="F25" s="41"/>
      <c r="G25" s="42"/>
      <c r="H25" s="38"/>
      <c r="I25" s="38"/>
      <c r="J25" s="42"/>
      <c r="K25" s="7"/>
      <c r="L25" s="7"/>
    </row>
    <row r="26" spans="1:12" ht="14.1" customHeight="1" x14ac:dyDescent="0.25">
      <c r="A26" s="37">
        <v>20</v>
      </c>
      <c r="B26" s="38"/>
      <c r="C26" s="39">
        <v>36320</v>
      </c>
      <c r="D26" s="40">
        <f t="shared" ca="1" si="0"/>
        <v>44575</v>
      </c>
      <c r="E26" s="37">
        <f t="shared" ca="1" si="1"/>
        <v>22</v>
      </c>
      <c r="F26" s="41"/>
      <c r="G26" s="42"/>
      <c r="H26" s="38"/>
      <c r="I26" s="38"/>
      <c r="J26" s="42"/>
      <c r="K26" s="7"/>
      <c r="L26" s="7"/>
    </row>
    <row r="27" spans="1:12" ht="14.1" customHeight="1" x14ac:dyDescent="0.25">
      <c r="A27" s="37">
        <v>21</v>
      </c>
      <c r="B27" s="38"/>
      <c r="C27" s="39">
        <v>36321</v>
      </c>
      <c r="D27" s="40">
        <f t="shared" ca="1" si="0"/>
        <v>44575</v>
      </c>
      <c r="E27" s="37">
        <f t="shared" ca="1" si="1"/>
        <v>22</v>
      </c>
      <c r="F27" s="41"/>
      <c r="G27" s="42"/>
      <c r="H27" s="38"/>
      <c r="I27" s="38"/>
      <c r="J27" s="42"/>
      <c r="K27" s="7"/>
      <c r="L27" s="7"/>
    </row>
    <row r="28" spans="1:12" ht="14.1" customHeight="1" x14ac:dyDescent="0.25">
      <c r="A28" s="37">
        <v>22</v>
      </c>
      <c r="B28" s="38"/>
      <c r="C28" s="39">
        <v>36322</v>
      </c>
      <c r="D28" s="40">
        <f t="shared" ca="1" si="0"/>
        <v>44575</v>
      </c>
      <c r="E28" s="37">
        <f t="shared" ca="1" si="1"/>
        <v>22</v>
      </c>
      <c r="F28" s="41"/>
      <c r="G28" s="42"/>
      <c r="H28" s="38"/>
      <c r="I28" s="38"/>
      <c r="J28" s="42"/>
      <c r="K28" s="7"/>
      <c r="L28" s="7"/>
    </row>
    <row r="29" spans="1:12" ht="14.1" customHeight="1" x14ac:dyDescent="0.25">
      <c r="A29" s="37">
        <v>23</v>
      </c>
      <c r="B29" s="38"/>
      <c r="C29" s="39">
        <v>36323</v>
      </c>
      <c r="D29" s="40">
        <f t="shared" ca="1" si="0"/>
        <v>44575</v>
      </c>
      <c r="E29" s="37">
        <f t="shared" ca="1" si="1"/>
        <v>22</v>
      </c>
      <c r="F29" s="41"/>
      <c r="G29" s="42"/>
      <c r="H29" s="38"/>
      <c r="I29" s="38"/>
      <c r="J29" s="42"/>
      <c r="K29" s="7"/>
      <c r="L29" s="7"/>
    </row>
    <row r="30" spans="1:12" ht="14.1" customHeight="1" x14ac:dyDescent="0.25">
      <c r="A30" s="37">
        <v>24</v>
      </c>
      <c r="B30" s="38"/>
      <c r="C30" s="39">
        <v>36324</v>
      </c>
      <c r="D30" s="40">
        <f t="shared" ca="1" si="0"/>
        <v>44575</v>
      </c>
      <c r="E30" s="37">
        <f t="shared" ca="1" si="1"/>
        <v>22</v>
      </c>
      <c r="F30" s="41"/>
      <c r="G30" s="42"/>
      <c r="H30" s="38"/>
      <c r="I30" s="38"/>
      <c r="J30" s="42"/>
      <c r="K30" s="7"/>
      <c r="L30" s="7"/>
    </row>
    <row r="31" spans="1:12" ht="14.1" customHeight="1" x14ac:dyDescent="0.25">
      <c r="A31" s="37">
        <v>25</v>
      </c>
      <c r="B31" s="38"/>
      <c r="C31" s="39">
        <v>36325</v>
      </c>
      <c r="D31" s="40">
        <f t="shared" ca="1" si="0"/>
        <v>44575</v>
      </c>
      <c r="E31" s="37">
        <f t="shared" ca="1" si="1"/>
        <v>22</v>
      </c>
      <c r="F31" s="41"/>
      <c r="G31" s="42"/>
      <c r="H31" s="38"/>
      <c r="I31" s="38"/>
      <c r="J31" s="42"/>
      <c r="K31" s="7"/>
      <c r="L31" s="7"/>
    </row>
    <row r="32" spans="1:12" ht="14.1" customHeight="1" x14ac:dyDescent="0.25">
      <c r="A32" s="37">
        <v>26</v>
      </c>
      <c r="B32" s="38"/>
      <c r="C32" s="39">
        <v>36326</v>
      </c>
      <c r="D32" s="40">
        <f t="shared" ca="1" si="0"/>
        <v>44575</v>
      </c>
      <c r="E32" s="37">
        <f t="shared" ca="1" si="1"/>
        <v>22</v>
      </c>
      <c r="F32" s="41"/>
      <c r="G32" s="42"/>
      <c r="H32" s="38"/>
      <c r="I32" s="38"/>
      <c r="J32" s="42"/>
      <c r="K32" s="7"/>
      <c r="L32" s="7"/>
    </row>
    <row r="33" spans="1:12" ht="14.1" customHeight="1" x14ac:dyDescent="0.25">
      <c r="A33" s="37">
        <v>27</v>
      </c>
      <c r="B33" s="38"/>
      <c r="C33" s="39">
        <v>36327</v>
      </c>
      <c r="D33" s="40">
        <f t="shared" ca="1" si="0"/>
        <v>44575</v>
      </c>
      <c r="E33" s="37">
        <f t="shared" ca="1" si="1"/>
        <v>22</v>
      </c>
      <c r="F33" s="41"/>
      <c r="G33" s="42"/>
      <c r="H33" s="38"/>
      <c r="I33" s="38"/>
      <c r="J33" s="42"/>
      <c r="K33" s="7"/>
      <c r="L33" s="7"/>
    </row>
    <row r="34" spans="1:12" ht="14.1" customHeight="1" x14ac:dyDescent="0.25">
      <c r="A34" s="37">
        <v>28</v>
      </c>
      <c r="B34" s="38"/>
      <c r="C34" s="39">
        <v>36328</v>
      </c>
      <c r="D34" s="40">
        <f t="shared" ca="1" si="0"/>
        <v>44575</v>
      </c>
      <c r="E34" s="37">
        <f t="shared" ca="1" si="1"/>
        <v>22</v>
      </c>
      <c r="F34" s="41"/>
      <c r="G34" s="42"/>
      <c r="H34" s="38"/>
      <c r="I34" s="38"/>
      <c r="J34" s="42"/>
      <c r="K34" s="7"/>
      <c r="L34" s="7"/>
    </row>
    <row r="35" spans="1:12" ht="14.1" customHeight="1" x14ac:dyDescent="0.25">
      <c r="A35" s="37">
        <v>29</v>
      </c>
      <c r="B35" s="38"/>
      <c r="C35" s="39">
        <v>36329</v>
      </c>
      <c r="D35" s="40">
        <f t="shared" ca="1" si="0"/>
        <v>44575</v>
      </c>
      <c r="E35" s="37">
        <f t="shared" ca="1" si="1"/>
        <v>22</v>
      </c>
      <c r="F35" s="41"/>
      <c r="G35" s="42"/>
      <c r="H35" s="38"/>
      <c r="I35" s="38"/>
      <c r="J35" s="42"/>
      <c r="K35" s="7"/>
      <c r="L35" s="7"/>
    </row>
    <row r="36" spans="1:12" ht="14.1" customHeight="1" x14ac:dyDescent="0.25">
      <c r="A36" s="37">
        <v>30</v>
      </c>
      <c r="B36" s="38"/>
      <c r="C36" s="39">
        <v>36330</v>
      </c>
      <c r="D36" s="40">
        <f t="shared" ca="1" si="0"/>
        <v>44575</v>
      </c>
      <c r="E36" s="37">
        <f t="shared" ca="1" si="1"/>
        <v>22</v>
      </c>
      <c r="F36" s="41"/>
      <c r="G36" s="42"/>
      <c r="H36" s="38"/>
      <c r="I36" s="38"/>
      <c r="J36" s="42"/>
      <c r="K36" s="7"/>
      <c r="L36" s="7"/>
    </row>
    <row r="37" spans="1:12" ht="14.1" customHeight="1" x14ac:dyDescent="0.25">
      <c r="A37" s="37">
        <v>31</v>
      </c>
      <c r="B37" s="38"/>
      <c r="C37" s="39">
        <v>36331</v>
      </c>
      <c r="D37" s="40">
        <f t="shared" ca="1" si="0"/>
        <v>44575</v>
      </c>
      <c r="E37" s="37">
        <f t="shared" ca="1" si="1"/>
        <v>22</v>
      </c>
      <c r="F37" s="41"/>
      <c r="G37" s="42"/>
      <c r="H37" s="38"/>
      <c r="I37" s="38"/>
      <c r="J37" s="42"/>
      <c r="K37" s="7"/>
      <c r="L37" s="7"/>
    </row>
    <row r="38" spans="1:12" ht="14.1" customHeight="1" x14ac:dyDescent="0.25">
      <c r="A38" s="37">
        <v>32</v>
      </c>
      <c r="B38" s="38"/>
      <c r="C38" s="39">
        <v>36332</v>
      </c>
      <c r="D38" s="40">
        <f t="shared" ca="1" si="0"/>
        <v>44575</v>
      </c>
      <c r="E38" s="37">
        <f t="shared" ca="1" si="1"/>
        <v>22</v>
      </c>
      <c r="F38" s="41"/>
      <c r="G38" s="42"/>
      <c r="H38" s="38"/>
      <c r="I38" s="38"/>
      <c r="J38" s="42"/>
      <c r="K38" s="7"/>
      <c r="L38" s="7"/>
    </row>
    <row r="39" spans="1:12" ht="14.1" customHeight="1" x14ac:dyDescent="0.25">
      <c r="A39" s="37">
        <v>33</v>
      </c>
      <c r="B39" s="38"/>
      <c r="C39" s="39">
        <v>36333</v>
      </c>
      <c r="D39" s="40">
        <f t="shared" ca="1" si="0"/>
        <v>44575</v>
      </c>
      <c r="E39" s="37">
        <f t="shared" ca="1" si="1"/>
        <v>22</v>
      </c>
      <c r="F39" s="41"/>
      <c r="G39" s="42"/>
      <c r="H39" s="38"/>
      <c r="I39" s="38"/>
      <c r="J39" s="42"/>
      <c r="K39" s="7"/>
      <c r="L39" s="7"/>
    </row>
    <row r="40" spans="1:12" ht="14.1" customHeight="1" x14ac:dyDescent="0.25">
      <c r="A40" s="37">
        <v>34</v>
      </c>
      <c r="B40" s="38"/>
      <c r="C40" s="39">
        <v>36334</v>
      </c>
      <c r="D40" s="40">
        <f t="shared" ca="1" si="0"/>
        <v>44575</v>
      </c>
      <c r="E40" s="37">
        <f t="shared" ca="1" si="1"/>
        <v>22</v>
      </c>
      <c r="F40" s="41"/>
      <c r="G40" s="42"/>
      <c r="H40" s="38"/>
      <c r="I40" s="38"/>
      <c r="J40" s="42"/>
      <c r="K40" s="7"/>
      <c r="L40" s="7"/>
    </row>
    <row r="41" spans="1:12" ht="14.1" customHeight="1" x14ac:dyDescent="0.25">
      <c r="A41" s="37">
        <v>35</v>
      </c>
      <c r="B41" s="38"/>
      <c r="C41" s="39">
        <v>36335</v>
      </c>
      <c r="D41" s="40">
        <f t="shared" ca="1" si="0"/>
        <v>44575</v>
      </c>
      <c r="E41" s="37">
        <f t="shared" ca="1" si="1"/>
        <v>22</v>
      </c>
      <c r="F41" s="41"/>
      <c r="G41" s="42"/>
      <c r="H41" s="38"/>
      <c r="I41" s="38"/>
      <c r="J41" s="42"/>
      <c r="K41" s="7"/>
      <c r="L41" s="7"/>
    </row>
  </sheetData>
  <sheetProtection sheet="1" objects="1" scenarios="1"/>
  <mergeCells count="1">
    <mergeCell ref="C2:I2"/>
  </mergeCells>
  <pageMargins left="0" right="0" top="0" bottom="0" header="0" footer="0.31496062992125984"/>
  <pageSetup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DCFAE-321F-40BE-A278-E4C3C60B9596}">
  <sheetPr codeName="Hoja1">
    <tabColor rgb="FFC00000"/>
  </sheetPr>
  <dimension ref="A1:AH73"/>
  <sheetViews>
    <sheetView zoomScale="110" zoomScaleNormal="110" workbookViewId="0"/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40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35</v>
      </c>
      <c r="N13" s="24" t="s">
        <v>35</v>
      </c>
      <c r="O13" s="24" t="s">
        <v>35</v>
      </c>
      <c r="P13" s="24" t="s">
        <v>35</v>
      </c>
      <c r="Q13" s="24" t="s">
        <v>35</v>
      </c>
      <c r="R13" s="24" t="s">
        <v>35</v>
      </c>
      <c r="S13" s="24" t="s">
        <v>35</v>
      </c>
      <c r="T13" s="24" t="s">
        <v>35</v>
      </c>
      <c r="U13" s="24" t="s">
        <v>46</v>
      </c>
      <c r="V13" s="24" t="s">
        <v>46</v>
      </c>
      <c r="W13" s="26" t="s">
        <v>46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/>
      <c r="AC13" s="26" t="s">
        <v>35</v>
      </c>
      <c r="AD13" s="30">
        <f t="shared" si="0"/>
        <v>10</v>
      </c>
      <c r="AE13" s="29">
        <f t="shared" si="1"/>
        <v>9</v>
      </c>
      <c r="AF13" s="29">
        <f t="shared" si="2"/>
        <v>3</v>
      </c>
      <c r="AG13" s="29">
        <f t="shared" si="3"/>
        <v>4</v>
      </c>
      <c r="AH13" s="29">
        <f t="shared" si="4"/>
        <v>8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ón2_Haga_clic_en">
                <anchor>
                  <from>
                    <xdr:col>34</xdr:col>
                    <xdr:colOff>85725</xdr:colOff>
                    <xdr:row>6</xdr:row>
                    <xdr:rowOff>47625</xdr:rowOff>
                  </from>
                  <to>
                    <xdr:col>35</xdr:col>
                    <xdr:colOff>476250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3DCF6-044F-44E7-9F0D-A7F4AD03AE83}">
  <sheetPr codeName="Hoja4">
    <tabColor rgb="FFC00000"/>
  </sheetPr>
  <dimension ref="A1:AH73"/>
  <sheetViews>
    <sheetView zoomScale="110" zoomScaleNormal="110" workbookViewId="0">
      <selection activeCell="B7" sqref="B7"/>
    </sheetView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48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35</v>
      </c>
      <c r="N13" s="24" t="s">
        <v>35</v>
      </c>
      <c r="O13" s="24" t="s">
        <v>35</v>
      </c>
      <c r="P13" s="24" t="s">
        <v>35</v>
      </c>
      <c r="Q13" s="24" t="s">
        <v>35</v>
      </c>
      <c r="R13" s="24" t="s">
        <v>35</v>
      </c>
      <c r="S13" s="24" t="s">
        <v>35</v>
      </c>
      <c r="T13" s="24" t="s">
        <v>35</v>
      </c>
      <c r="U13" s="24" t="s">
        <v>46</v>
      </c>
      <c r="V13" s="24" t="s">
        <v>46</v>
      </c>
      <c r="W13" s="26" t="s">
        <v>46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/>
      <c r="AC13" s="26" t="s">
        <v>35</v>
      </c>
      <c r="AD13" s="30">
        <f t="shared" si="0"/>
        <v>10</v>
      </c>
      <c r="AE13" s="29">
        <f t="shared" si="1"/>
        <v>9</v>
      </c>
      <c r="AF13" s="29">
        <f t="shared" si="2"/>
        <v>3</v>
      </c>
      <c r="AG13" s="29">
        <f t="shared" si="3"/>
        <v>4</v>
      </c>
      <c r="AH13" s="29">
        <f t="shared" si="4"/>
        <v>8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tón2_Haga_clic_en">
                <anchor>
                  <from>
                    <xdr:col>34</xdr:col>
                    <xdr:colOff>19050</xdr:colOff>
                    <xdr:row>6</xdr:row>
                    <xdr:rowOff>47625</xdr:rowOff>
                  </from>
                  <to>
                    <xdr:col>35</xdr:col>
                    <xdr:colOff>409575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AD446-6AB6-4286-AAC2-AE53185E7AD6}">
  <sheetPr codeName="Hoja5">
    <tabColor rgb="FFC00000"/>
  </sheetPr>
  <dimension ref="A1:AH73"/>
  <sheetViews>
    <sheetView zoomScale="110" zoomScaleNormal="110" workbookViewId="0">
      <selection activeCell="B7" sqref="B7"/>
    </sheetView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49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36</v>
      </c>
      <c r="N13" s="24" t="s">
        <v>36</v>
      </c>
      <c r="O13" s="24" t="s">
        <v>36</v>
      </c>
      <c r="P13" s="24" t="s">
        <v>35</v>
      </c>
      <c r="Q13" s="24" t="s">
        <v>35</v>
      </c>
      <c r="R13" s="24" t="s">
        <v>35</v>
      </c>
      <c r="S13" s="24" t="s">
        <v>46</v>
      </c>
      <c r="T13" s="24" t="s">
        <v>46</v>
      </c>
      <c r="U13" s="24" t="s">
        <v>46</v>
      </c>
      <c r="V13" s="24" t="s">
        <v>46</v>
      </c>
      <c r="W13" s="26" t="s">
        <v>47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 t="s">
        <v>47</v>
      </c>
      <c r="AC13" s="26" t="s">
        <v>47</v>
      </c>
      <c r="AD13" s="30">
        <f t="shared" si="0"/>
        <v>13</v>
      </c>
      <c r="AE13" s="29">
        <f t="shared" si="1"/>
        <v>3</v>
      </c>
      <c r="AF13" s="29">
        <f t="shared" si="2"/>
        <v>4</v>
      </c>
      <c r="AG13" s="29">
        <f t="shared" si="3"/>
        <v>7</v>
      </c>
      <c r="AH13" s="29">
        <f t="shared" si="4"/>
        <v>14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otón2_Haga_clic_en">
                <anchor>
                  <from>
                    <xdr:col>34</xdr:col>
                    <xdr:colOff>19050</xdr:colOff>
                    <xdr:row>6</xdr:row>
                    <xdr:rowOff>47625</xdr:rowOff>
                  </from>
                  <to>
                    <xdr:col>35</xdr:col>
                    <xdr:colOff>409575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47875-A0E0-4E50-A5DF-5AB349BDB0AC}">
  <sheetPr codeName="Hoja6">
    <tabColor rgb="FFC00000"/>
  </sheetPr>
  <dimension ref="A1:AH73"/>
  <sheetViews>
    <sheetView zoomScale="110" zoomScaleNormal="110" workbookViewId="0">
      <selection activeCell="B7" sqref="B7"/>
    </sheetView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50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36</v>
      </c>
      <c r="N13" s="24" t="s">
        <v>36</v>
      </c>
      <c r="O13" s="24" t="s">
        <v>36</v>
      </c>
      <c r="P13" s="24" t="s">
        <v>35</v>
      </c>
      <c r="Q13" s="24" t="s">
        <v>35</v>
      </c>
      <c r="R13" s="24" t="s">
        <v>35</v>
      </c>
      <c r="S13" s="24" t="s">
        <v>46</v>
      </c>
      <c r="T13" s="24" t="s">
        <v>46</v>
      </c>
      <c r="U13" s="24" t="s">
        <v>46</v>
      </c>
      <c r="V13" s="24" t="s">
        <v>46</v>
      </c>
      <c r="W13" s="26" t="s">
        <v>47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 t="s">
        <v>47</v>
      </c>
      <c r="AC13" s="26" t="s">
        <v>47</v>
      </c>
      <c r="AD13" s="30">
        <f t="shared" si="0"/>
        <v>13</v>
      </c>
      <c r="AE13" s="29">
        <f t="shared" si="1"/>
        <v>3</v>
      </c>
      <c r="AF13" s="29">
        <f t="shared" si="2"/>
        <v>4</v>
      </c>
      <c r="AG13" s="29">
        <f t="shared" si="3"/>
        <v>7</v>
      </c>
      <c r="AH13" s="29">
        <f t="shared" si="4"/>
        <v>14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otón2_Haga_clic_en">
                <anchor>
                  <from>
                    <xdr:col>34</xdr:col>
                    <xdr:colOff>28575</xdr:colOff>
                    <xdr:row>6</xdr:row>
                    <xdr:rowOff>47625</xdr:rowOff>
                  </from>
                  <to>
                    <xdr:col>35</xdr:col>
                    <xdr:colOff>419100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91AA1-1801-4647-8F41-13E8A8C938AF}">
  <sheetPr codeName="Hoja7">
    <tabColor rgb="FFC00000"/>
  </sheetPr>
  <dimension ref="A1:AH73"/>
  <sheetViews>
    <sheetView zoomScale="110" zoomScaleNormal="110" workbookViewId="0">
      <selection activeCell="B7" sqref="B7"/>
    </sheetView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51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36</v>
      </c>
      <c r="N13" s="24" t="s">
        <v>36</v>
      </c>
      <c r="O13" s="24" t="s">
        <v>36</v>
      </c>
      <c r="P13" s="24" t="s">
        <v>35</v>
      </c>
      <c r="Q13" s="24" t="s">
        <v>35</v>
      </c>
      <c r="R13" s="24" t="s">
        <v>35</v>
      </c>
      <c r="S13" s="24" t="s">
        <v>46</v>
      </c>
      <c r="T13" s="24" t="s">
        <v>46</v>
      </c>
      <c r="U13" s="24" t="s">
        <v>46</v>
      </c>
      <c r="V13" s="24" t="s">
        <v>46</v>
      </c>
      <c r="W13" s="26" t="s">
        <v>47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 t="s">
        <v>47</v>
      </c>
      <c r="AC13" s="26" t="s">
        <v>47</v>
      </c>
      <c r="AD13" s="30">
        <f t="shared" si="0"/>
        <v>13</v>
      </c>
      <c r="AE13" s="29">
        <f t="shared" si="1"/>
        <v>3</v>
      </c>
      <c r="AF13" s="29">
        <f t="shared" si="2"/>
        <v>4</v>
      </c>
      <c r="AG13" s="29">
        <f t="shared" si="3"/>
        <v>7</v>
      </c>
      <c r="AH13" s="29">
        <f t="shared" si="4"/>
        <v>14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ón2_Haga_clic_en">
                <anchor>
                  <from>
                    <xdr:col>34</xdr:col>
                    <xdr:colOff>38100</xdr:colOff>
                    <xdr:row>6</xdr:row>
                    <xdr:rowOff>47625</xdr:rowOff>
                  </from>
                  <to>
                    <xdr:col>35</xdr:col>
                    <xdr:colOff>428625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43081-F8F0-4EC5-904D-023C28EB05BB}">
  <sheetPr codeName="Hoja13">
    <tabColor theme="9" tint="-0.499984740745262"/>
  </sheetPr>
  <dimension ref="A1:AA43"/>
  <sheetViews>
    <sheetView zoomScale="130" zoomScaleNormal="130" workbookViewId="0">
      <selection activeCell="C9" sqref="C9"/>
    </sheetView>
  </sheetViews>
  <sheetFormatPr baseColWidth="10" defaultRowHeight="12.75" customHeight="1" x14ac:dyDescent="0.2"/>
  <cols>
    <col min="1" max="1" width="2.28515625" style="43" customWidth="1"/>
    <col min="2" max="2" width="27.7109375" style="7" customWidth="1"/>
    <col min="3" max="25" width="2.7109375" style="7" customWidth="1"/>
    <col min="26" max="26" width="4.7109375" style="7" customWidth="1"/>
    <col min="27" max="27" width="13.5703125" style="7" customWidth="1"/>
    <col min="28" max="16384" width="11.42578125" style="7"/>
  </cols>
  <sheetData>
    <row r="1" spans="1:27" ht="5.0999999999999996" customHeight="1" x14ac:dyDescent="0.2"/>
    <row r="2" spans="1:27" ht="12.75" customHeight="1" x14ac:dyDescent="0.2">
      <c r="B2" s="92" t="s">
        <v>64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ht="12.75" customHeight="1" x14ac:dyDescent="0.2">
      <c r="B3" s="48" t="s">
        <v>37</v>
      </c>
      <c r="C3" s="7" t="str">
        <f>CARÁTULA!$F$12</f>
        <v>SAGRADA FAMILIA III</v>
      </c>
      <c r="P3" s="106" t="s">
        <v>9</v>
      </c>
      <c r="Q3" s="106"/>
      <c r="R3" s="106"/>
      <c r="S3" s="106"/>
      <c r="T3" s="107">
        <f>CARÁTULA!$F$27</f>
        <v>2022</v>
      </c>
      <c r="U3" s="107"/>
      <c r="V3" s="107"/>
      <c r="W3" s="107"/>
    </row>
    <row r="4" spans="1:27" ht="12" customHeight="1" x14ac:dyDescent="0.2">
      <c r="B4" s="49" t="s">
        <v>5</v>
      </c>
      <c r="C4" s="7" t="str">
        <f>CARÁTULA!$F$18</f>
        <v>AUXILIAR</v>
      </c>
    </row>
    <row r="5" spans="1:27" ht="12.75" customHeight="1" x14ac:dyDescent="0.2">
      <c r="B5" s="49" t="s">
        <v>38</v>
      </c>
      <c r="C5" s="7" t="str">
        <f>CARÁTULA!$F$16</f>
        <v>MARÍA DE LOS JARICHIS</v>
      </c>
    </row>
    <row r="6" spans="1:27" ht="12.75" customHeight="1" x14ac:dyDescent="0.2">
      <c r="P6" s="109" t="s">
        <v>57</v>
      </c>
      <c r="Q6" s="109"/>
      <c r="R6" s="109"/>
      <c r="S6" s="109"/>
      <c r="T6" s="109"/>
      <c r="U6" s="109"/>
      <c r="V6" s="109"/>
      <c r="W6" s="112" t="s">
        <v>58</v>
      </c>
      <c r="X6" s="112" t="s">
        <v>62</v>
      </c>
      <c r="Y6" s="100" t="s">
        <v>61</v>
      </c>
      <c r="Z6" s="103" t="s">
        <v>63</v>
      </c>
    </row>
    <row r="7" spans="1:27" ht="12.75" customHeight="1" x14ac:dyDescent="0.2">
      <c r="C7" s="111" t="s">
        <v>53</v>
      </c>
      <c r="D7" s="111"/>
      <c r="E7" s="111"/>
      <c r="F7" s="110" t="s">
        <v>56</v>
      </c>
      <c r="G7" s="111" t="s">
        <v>54</v>
      </c>
      <c r="H7" s="111"/>
      <c r="I7" s="111"/>
      <c r="J7" s="111"/>
      <c r="K7" s="110" t="s">
        <v>56</v>
      </c>
      <c r="L7" s="109" t="s">
        <v>55</v>
      </c>
      <c r="M7" s="109"/>
      <c r="N7" s="109"/>
      <c r="O7" s="108" t="s">
        <v>56</v>
      </c>
      <c r="P7" s="109" t="s">
        <v>59</v>
      </c>
      <c r="Q7" s="109"/>
      <c r="R7" s="109"/>
      <c r="S7" s="110" t="s">
        <v>58</v>
      </c>
      <c r="T7" s="109" t="s">
        <v>60</v>
      </c>
      <c r="U7" s="109"/>
      <c r="V7" s="109"/>
      <c r="W7" s="113"/>
      <c r="X7" s="113"/>
      <c r="Y7" s="101"/>
      <c r="Z7" s="104"/>
    </row>
    <row r="8" spans="1:27" ht="75" customHeight="1" x14ac:dyDescent="0.2">
      <c r="A8" s="56" t="s">
        <v>23</v>
      </c>
      <c r="B8" s="47" t="s">
        <v>68</v>
      </c>
      <c r="C8" s="45"/>
      <c r="D8" s="33"/>
      <c r="E8" s="33"/>
      <c r="F8" s="110"/>
      <c r="G8" s="33"/>
      <c r="H8" s="33"/>
      <c r="I8" s="33"/>
      <c r="J8" s="33"/>
      <c r="K8" s="110"/>
      <c r="L8" s="33"/>
      <c r="M8" s="33"/>
      <c r="N8" s="44"/>
      <c r="O8" s="108"/>
      <c r="P8" s="33"/>
      <c r="Q8" s="33"/>
      <c r="R8" s="33"/>
      <c r="S8" s="110"/>
      <c r="T8" s="33"/>
      <c r="U8" s="33"/>
      <c r="V8" s="33"/>
      <c r="W8" s="114"/>
      <c r="X8" s="114"/>
      <c r="Y8" s="102"/>
      <c r="Z8" s="105"/>
      <c r="AA8" s="52" t="s">
        <v>65</v>
      </c>
    </row>
    <row r="9" spans="1:27" ht="12.75" customHeight="1" x14ac:dyDescent="0.2">
      <c r="A9" s="46">
        <v>1</v>
      </c>
      <c r="B9" s="55" t="str">
        <f>FILIACIÓN!B7</f>
        <v>JJJJJJJJJJJJJJJJJJJJ</v>
      </c>
      <c r="C9" s="51">
        <v>10</v>
      </c>
      <c r="D9" s="51">
        <v>10</v>
      </c>
      <c r="E9" s="51">
        <v>10</v>
      </c>
      <c r="F9" s="53">
        <f>IFERROR(AVERAGE(C9:E9),"")</f>
        <v>10</v>
      </c>
      <c r="G9" s="51">
        <v>20</v>
      </c>
      <c r="H9" s="51">
        <v>20</v>
      </c>
      <c r="I9" s="51">
        <v>20</v>
      </c>
      <c r="J9" s="51">
        <v>20</v>
      </c>
      <c r="K9" s="53">
        <f>IFERROR(AVERAGE(G9:J9),"")</f>
        <v>20</v>
      </c>
      <c r="L9" s="50">
        <v>10</v>
      </c>
      <c r="M9" s="50">
        <v>10</v>
      </c>
      <c r="N9" s="50">
        <v>10</v>
      </c>
      <c r="O9" s="53">
        <f>IFERROR(AVERAGE(L9:N9),"")</f>
        <v>10</v>
      </c>
      <c r="P9" s="51">
        <v>20</v>
      </c>
      <c r="Q9" s="51">
        <v>20</v>
      </c>
      <c r="R9" s="51">
        <v>20</v>
      </c>
      <c r="S9" s="53">
        <f>IFERROR(AVERAGE(P9:R9),"")</f>
        <v>20</v>
      </c>
      <c r="T9" s="51">
        <v>20</v>
      </c>
      <c r="U9" s="51">
        <v>20</v>
      </c>
      <c r="V9" s="51">
        <v>20</v>
      </c>
      <c r="W9" s="53">
        <f>IFERROR(AVERAGE(T9:V9),"")</f>
        <v>20</v>
      </c>
      <c r="X9" s="53">
        <f>SUM(S9,W9)</f>
        <v>40</v>
      </c>
      <c r="Y9" s="51">
        <v>20</v>
      </c>
      <c r="Z9" s="53">
        <f>IFERROR((SUM(F9,K9,O9,S9,W9,Y9))," ")</f>
        <v>100</v>
      </c>
      <c r="AA9" s="54" t="str">
        <f>IF(Z9="","",(IF(AND(Z9&gt;=1,Z9&lt;=50.499),"REPROBADO",IF(AND(Z9&gt;=50.5,Z9&lt;=100),"APROBADO"))))</f>
        <v>APROBADO</v>
      </c>
    </row>
    <row r="10" spans="1:27" ht="12.75" customHeight="1" x14ac:dyDescent="0.2">
      <c r="A10" s="46">
        <v>2</v>
      </c>
      <c r="B10" s="55" t="str">
        <f>FILIACIÓN!B8</f>
        <v>AAAAAAAAAAAAAAAAAA</v>
      </c>
      <c r="C10" s="51">
        <v>10</v>
      </c>
      <c r="D10" s="51">
        <v>10</v>
      </c>
      <c r="E10" s="51">
        <v>10</v>
      </c>
      <c r="F10" s="53">
        <f t="shared" ref="F10:F43" si="0">IFERROR(AVERAGE(C10:E10),"")</f>
        <v>10</v>
      </c>
      <c r="G10" s="51">
        <v>20</v>
      </c>
      <c r="H10" s="51">
        <v>20</v>
      </c>
      <c r="I10" s="51">
        <v>20</v>
      </c>
      <c r="J10" s="51">
        <v>20</v>
      </c>
      <c r="K10" s="53">
        <f t="shared" ref="K10:K43" si="1">IFERROR(AVERAGE(G10:J10),"")</f>
        <v>20</v>
      </c>
      <c r="L10" s="50">
        <v>10</v>
      </c>
      <c r="M10" s="50">
        <v>10</v>
      </c>
      <c r="N10" s="50">
        <v>10</v>
      </c>
      <c r="O10" s="53">
        <f t="shared" ref="O10:O43" si="2">IFERROR(AVERAGE(L10:N10),"")</f>
        <v>10</v>
      </c>
      <c r="P10" s="51">
        <v>20</v>
      </c>
      <c r="Q10" s="51">
        <v>20</v>
      </c>
      <c r="R10" s="51">
        <v>20</v>
      </c>
      <c r="S10" s="53">
        <f t="shared" ref="S10:S43" si="3">IFERROR(AVERAGE(P10:R10),"")</f>
        <v>20</v>
      </c>
      <c r="T10" s="51">
        <v>20</v>
      </c>
      <c r="U10" s="51">
        <v>20</v>
      </c>
      <c r="V10" s="51">
        <v>20</v>
      </c>
      <c r="W10" s="53">
        <f t="shared" ref="W10:W43" si="4">IFERROR(AVERAGE(T10:V10),"")</f>
        <v>20</v>
      </c>
      <c r="X10" s="53">
        <f t="shared" ref="X10:X43" si="5">SUM(S10,W10)</f>
        <v>40</v>
      </c>
      <c r="Y10" s="51">
        <v>20</v>
      </c>
      <c r="Z10" s="53">
        <f t="shared" ref="Z10:Z43" si="6">IFERROR((SUM(F10,K10,O10,S10,W10,Y10))," ")</f>
        <v>100</v>
      </c>
      <c r="AA10" s="54" t="str">
        <f t="shared" ref="AA10:AA43" si="7">IF(Z10="","",(IF(AND(Z10&gt;=1,Z10&lt;=50.499),"REPROBADO",IF(AND(Z10&gt;=50.5,Z10&lt;=100),"APROBADO"))))</f>
        <v>APROBADO</v>
      </c>
    </row>
    <row r="11" spans="1:27" ht="12.75" customHeight="1" x14ac:dyDescent="0.2">
      <c r="A11" s="46">
        <v>3</v>
      </c>
      <c r="B11" s="55" t="str">
        <f>FILIACIÓN!B9</f>
        <v>OOOOOOOOOOOOOOOOOO</v>
      </c>
      <c r="C11" s="51">
        <v>10</v>
      </c>
      <c r="D11" s="51">
        <v>10</v>
      </c>
      <c r="E11" s="51">
        <v>10</v>
      </c>
      <c r="F11" s="53">
        <f t="shared" si="0"/>
        <v>10</v>
      </c>
      <c r="G11" s="51">
        <v>20</v>
      </c>
      <c r="H11" s="51">
        <v>20</v>
      </c>
      <c r="I11" s="51">
        <v>20</v>
      </c>
      <c r="J11" s="51">
        <v>20</v>
      </c>
      <c r="K11" s="53">
        <f t="shared" si="1"/>
        <v>20</v>
      </c>
      <c r="L11" s="50">
        <v>10</v>
      </c>
      <c r="M11" s="50">
        <v>10</v>
      </c>
      <c r="N11" s="50">
        <v>10</v>
      </c>
      <c r="O11" s="53">
        <f t="shared" si="2"/>
        <v>10</v>
      </c>
      <c r="P11" s="51">
        <v>20</v>
      </c>
      <c r="Q11" s="51">
        <v>20</v>
      </c>
      <c r="R11" s="51">
        <v>20</v>
      </c>
      <c r="S11" s="53">
        <f t="shared" si="3"/>
        <v>20</v>
      </c>
      <c r="T11" s="51">
        <v>20</v>
      </c>
      <c r="U11" s="51">
        <v>20</v>
      </c>
      <c r="V11" s="51">
        <v>20</v>
      </c>
      <c r="W11" s="53">
        <f t="shared" si="4"/>
        <v>20</v>
      </c>
      <c r="X11" s="53">
        <f t="shared" si="5"/>
        <v>40</v>
      </c>
      <c r="Y11" s="51">
        <v>20</v>
      </c>
      <c r="Z11" s="53">
        <f t="shared" si="6"/>
        <v>100</v>
      </c>
      <c r="AA11" s="54" t="str">
        <f t="shared" si="7"/>
        <v>APROBADO</v>
      </c>
    </row>
    <row r="12" spans="1:27" ht="12.75" customHeight="1" x14ac:dyDescent="0.2">
      <c r="A12" s="46">
        <v>4</v>
      </c>
      <c r="B12" s="55">
        <f>FILIACIÓN!B10</f>
        <v>0</v>
      </c>
      <c r="C12" s="51">
        <v>10</v>
      </c>
      <c r="D12" s="51">
        <v>10</v>
      </c>
      <c r="E12" s="51">
        <v>10</v>
      </c>
      <c r="F12" s="53">
        <f t="shared" si="0"/>
        <v>10</v>
      </c>
      <c r="G12" s="51">
        <v>20</v>
      </c>
      <c r="H12" s="51">
        <v>20</v>
      </c>
      <c r="I12" s="51">
        <v>20</v>
      </c>
      <c r="J12" s="51">
        <v>20</v>
      </c>
      <c r="K12" s="53">
        <f t="shared" si="1"/>
        <v>20</v>
      </c>
      <c r="L12" s="50">
        <v>10</v>
      </c>
      <c r="M12" s="50">
        <v>10</v>
      </c>
      <c r="N12" s="50">
        <v>10</v>
      </c>
      <c r="O12" s="53">
        <f t="shared" si="2"/>
        <v>10</v>
      </c>
      <c r="P12" s="51">
        <v>20</v>
      </c>
      <c r="Q12" s="51">
        <v>20</v>
      </c>
      <c r="R12" s="51">
        <v>20</v>
      </c>
      <c r="S12" s="53">
        <f t="shared" si="3"/>
        <v>20</v>
      </c>
      <c r="T12" s="51">
        <v>20</v>
      </c>
      <c r="U12" s="51">
        <v>20</v>
      </c>
      <c r="V12" s="51">
        <v>20</v>
      </c>
      <c r="W12" s="53">
        <f t="shared" si="4"/>
        <v>20</v>
      </c>
      <c r="X12" s="53">
        <f t="shared" si="5"/>
        <v>40</v>
      </c>
      <c r="Y12" s="51">
        <v>20</v>
      </c>
      <c r="Z12" s="53">
        <f t="shared" si="6"/>
        <v>100</v>
      </c>
      <c r="AA12" s="54" t="str">
        <f t="shared" si="7"/>
        <v>APROBADO</v>
      </c>
    </row>
    <row r="13" spans="1:27" ht="12.75" customHeight="1" x14ac:dyDescent="0.2">
      <c r="A13" s="46">
        <v>5</v>
      </c>
      <c r="B13" s="55">
        <f>FILIACIÓN!B11</f>
        <v>0</v>
      </c>
      <c r="C13" s="51">
        <v>10</v>
      </c>
      <c r="D13" s="51">
        <v>10</v>
      </c>
      <c r="E13" s="51">
        <v>10</v>
      </c>
      <c r="F13" s="53">
        <f t="shared" si="0"/>
        <v>10</v>
      </c>
      <c r="G13" s="51">
        <v>20</v>
      </c>
      <c r="H13" s="51">
        <v>20</v>
      </c>
      <c r="I13" s="51">
        <v>20</v>
      </c>
      <c r="J13" s="51">
        <v>20</v>
      </c>
      <c r="K13" s="53">
        <f t="shared" si="1"/>
        <v>20</v>
      </c>
      <c r="L13" s="50">
        <v>10</v>
      </c>
      <c r="M13" s="50">
        <v>10</v>
      </c>
      <c r="N13" s="50">
        <v>10</v>
      </c>
      <c r="O13" s="53">
        <f t="shared" si="2"/>
        <v>10</v>
      </c>
      <c r="P13" s="51">
        <v>20</v>
      </c>
      <c r="Q13" s="51">
        <v>20</v>
      </c>
      <c r="R13" s="51">
        <v>20</v>
      </c>
      <c r="S13" s="53">
        <f t="shared" si="3"/>
        <v>20</v>
      </c>
      <c r="T13" s="51">
        <v>20</v>
      </c>
      <c r="U13" s="51">
        <v>20</v>
      </c>
      <c r="V13" s="51">
        <v>20</v>
      </c>
      <c r="W13" s="53">
        <f t="shared" si="4"/>
        <v>20</v>
      </c>
      <c r="X13" s="53">
        <f t="shared" si="5"/>
        <v>40</v>
      </c>
      <c r="Y13" s="51">
        <v>20</v>
      </c>
      <c r="Z13" s="53">
        <f t="shared" si="6"/>
        <v>100</v>
      </c>
      <c r="AA13" s="54" t="str">
        <f t="shared" si="7"/>
        <v>APROBADO</v>
      </c>
    </row>
    <row r="14" spans="1:27" ht="12.75" customHeight="1" x14ac:dyDescent="0.2">
      <c r="A14" s="46">
        <v>6</v>
      </c>
      <c r="B14" s="55">
        <f>FILIACIÓN!B12</f>
        <v>0</v>
      </c>
      <c r="C14" s="51">
        <v>10</v>
      </c>
      <c r="D14" s="51">
        <v>10</v>
      </c>
      <c r="E14" s="51">
        <v>10</v>
      </c>
      <c r="F14" s="53">
        <f t="shared" si="0"/>
        <v>10</v>
      </c>
      <c r="G14" s="51">
        <v>20</v>
      </c>
      <c r="H14" s="51">
        <v>20</v>
      </c>
      <c r="I14" s="51">
        <v>20</v>
      </c>
      <c r="J14" s="51">
        <v>20</v>
      </c>
      <c r="K14" s="53">
        <f t="shared" si="1"/>
        <v>20</v>
      </c>
      <c r="L14" s="50">
        <v>10</v>
      </c>
      <c r="M14" s="50">
        <v>10</v>
      </c>
      <c r="N14" s="50">
        <v>10</v>
      </c>
      <c r="O14" s="53">
        <f t="shared" si="2"/>
        <v>10</v>
      </c>
      <c r="P14" s="51">
        <v>20</v>
      </c>
      <c r="Q14" s="51">
        <v>20</v>
      </c>
      <c r="R14" s="51">
        <v>20</v>
      </c>
      <c r="S14" s="53">
        <f t="shared" si="3"/>
        <v>20</v>
      </c>
      <c r="T14" s="51">
        <v>20</v>
      </c>
      <c r="U14" s="51">
        <v>20</v>
      </c>
      <c r="V14" s="51">
        <v>20</v>
      </c>
      <c r="W14" s="53">
        <f t="shared" si="4"/>
        <v>20</v>
      </c>
      <c r="X14" s="53">
        <f t="shared" si="5"/>
        <v>40</v>
      </c>
      <c r="Y14" s="51">
        <v>20</v>
      </c>
      <c r="Z14" s="53">
        <f t="shared" si="6"/>
        <v>100</v>
      </c>
      <c r="AA14" s="54" t="str">
        <f t="shared" si="7"/>
        <v>APROBADO</v>
      </c>
    </row>
    <row r="15" spans="1:27" ht="12.75" customHeight="1" x14ac:dyDescent="0.2">
      <c r="A15" s="46">
        <v>7</v>
      </c>
      <c r="B15" s="55">
        <f>FILIACIÓN!B13</f>
        <v>0</v>
      </c>
      <c r="C15" s="51">
        <v>10</v>
      </c>
      <c r="D15" s="51">
        <v>10</v>
      </c>
      <c r="E15" s="51">
        <v>10</v>
      </c>
      <c r="F15" s="53">
        <f t="shared" si="0"/>
        <v>10</v>
      </c>
      <c r="G15" s="51">
        <v>20</v>
      </c>
      <c r="H15" s="51">
        <v>20</v>
      </c>
      <c r="I15" s="51">
        <v>20</v>
      </c>
      <c r="J15" s="51">
        <v>20</v>
      </c>
      <c r="K15" s="53">
        <f t="shared" si="1"/>
        <v>20</v>
      </c>
      <c r="L15" s="50">
        <v>10</v>
      </c>
      <c r="M15" s="50">
        <v>10</v>
      </c>
      <c r="N15" s="50">
        <v>10</v>
      </c>
      <c r="O15" s="53">
        <f t="shared" si="2"/>
        <v>10</v>
      </c>
      <c r="P15" s="51">
        <v>20</v>
      </c>
      <c r="Q15" s="51">
        <v>20</v>
      </c>
      <c r="R15" s="51">
        <v>20</v>
      </c>
      <c r="S15" s="53">
        <f t="shared" si="3"/>
        <v>20</v>
      </c>
      <c r="T15" s="51">
        <v>20</v>
      </c>
      <c r="U15" s="51">
        <v>20</v>
      </c>
      <c r="V15" s="51">
        <v>20</v>
      </c>
      <c r="W15" s="53">
        <f t="shared" si="4"/>
        <v>20</v>
      </c>
      <c r="X15" s="53">
        <f t="shared" si="5"/>
        <v>40</v>
      </c>
      <c r="Y15" s="51">
        <v>20</v>
      </c>
      <c r="Z15" s="53">
        <f t="shared" si="6"/>
        <v>100</v>
      </c>
      <c r="AA15" s="54" t="str">
        <f t="shared" si="7"/>
        <v>APROBADO</v>
      </c>
    </row>
    <row r="16" spans="1:27" ht="12.75" customHeight="1" x14ac:dyDescent="0.2">
      <c r="A16" s="46">
        <v>8</v>
      </c>
      <c r="B16" s="55">
        <f>FILIACIÓN!B14</f>
        <v>0</v>
      </c>
      <c r="C16" s="51">
        <v>10</v>
      </c>
      <c r="D16" s="51">
        <v>10</v>
      </c>
      <c r="E16" s="51">
        <v>10</v>
      </c>
      <c r="F16" s="53">
        <f t="shared" si="0"/>
        <v>10</v>
      </c>
      <c r="G16" s="51">
        <v>20</v>
      </c>
      <c r="H16" s="51">
        <v>10</v>
      </c>
      <c r="I16" s="51">
        <v>20</v>
      </c>
      <c r="J16" s="51">
        <v>20</v>
      </c>
      <c r="K16" s="53">
        <f t="shared" si="1"/>
        <v>17.5</v>
      </c>
      <c r="L16" s="50">
        <v>10</v>
      </c>
      <c r="M16" s="50">
        <v>10</v>
      </c>
      <c r="N16" s="50">
        <v>10</v>
      </c>
      <c r="O16" s="53">
        <f t="shared" si="2"/>
        <v>10</v>
      </c>
      <c r="P16" s="51">
        <v>20</v>
      </c>
      <c r="Q16" s="51">
        <v>20</v>
      </c>
      <c r="R16" s="51">
        <v>20</v>
      </c>
      <c r="S16" s="53">
        <f t="shared" si="3"/>
        <v>20</v>
      </c>
      <c r="T16" s="51">
        <v>20</v>
      </c>
      <c r="U16" s="51">
        <v>20</v>
      </c>
      <c r="V16" s="51">
        <v>20</v>
      </c>
      <c r="W16" s="53">
        <f t="shared" si="4"/>
        <v>20</v>
      </c>
      <c r="X16" s="53">
        <f t="shared" si="5"/>
        <v>40</v>
      </c>
      <c r="Y16" s="51">
        <v>20</v>
      </c>
      <c r="Z16" s="53">
        <f t="shared" si="6"/>
        <v>97.5</v>
      </c>
      <c r="AA16" s="54" t="str">
        <f t="shared" si="7"/>
        <v>APROBADO</v>
      </c>
    </row>
    <row r="17" spans="1:27" ht="12.75" customHeight="1" x14ac:dyDescent="0.2">
      <c r="A17" s="46">
        <v>9</v>
      </c>
      <c r="B17" s="55">
        <f>FILIACIÓN!B15</f>
        <v>0</v>
      </c>
      <c r="C17" s="51">
        <v>10</v>
      </c>
      <c r="D17" s="51">
        <v>10</v>
      </c>
      <c r="E17" s="51">
        <v>10</v>
      </c>
      <c r="F17" s="53">
        <f t="shared" si="0"/>
        <v>10</v>
      </c>
      <c r="G17" s="51">
        <v>20</v>
      </c>
      <c r="H17" s="51">
        <v>20</v>
      </c>
      <c r="I17" s="51">
        <v>20</v>
      </c>
      <c r="J17" s="51">
        <v>20</v>
      </c>
      <c r="K17" s="53">
        <f t="shared" si="1"/>
        <v>20</v>
      </c>
      <c r="L17" s="50">
        <v>10</v>
      </c>
      <c r="M17" s="50">
        <v>10</v>
      </c>
      <c r="N17" s="50">
        <v>10</v>
      </c>
      <c r="O17" s="53">
        <f t="shared" si="2"/>
        <v>10</v>
      </c>
      <c r="P17" s="51">
        <v>20</v>
      </c>
      <c r="Q17" s="51">
        <v>20</v>
      </c>
      <c r="R17" s="51">
        <v>20</v>
      </c>
      <c r="S17" s="53">
        <f t="shared" si="3"/>
        <v>20</v>
      </c>
      <c r="T17" s="51">
        <v>20</v>
      </c>
      <c r="U17" s="51">
        <v>20</v>
      </c>
      <c r="V17" s="51">
        <v>20</v>
      </c>
      <c r="W17" s="53">
        <f t="shared" si="4"/>
        <v>20</v>
      </c>
      <c r="X17" s="53">
        <f t="shared" si="5"/>
        <v>40</v>
      </c>
      <c r="Y17" s="51">
        <v>20</v>
      </c>
      <c r="Z17" s="53">
        <f t="shared" si="6"/>
        <v>100</v>
      </c>
      <c r="AA17" s="54" t="str">
        <f t="shared" si="7"/>
        <v>APROBADO</v>
      </c>
    </row>
    <row r="18" spans="1:27" ht="12.75" customHeight="1" x14ac:dyDescent="0.2">
      <c r="A18" s="46">
        <v>10</v>
      </c>
      <c r="B18" s="55">
        <f>FILIACIÓN!B16</f>
        <v>0</v>
      </c>
      <c r="C18" s="51">
        <v>10</v>
      </c>
      <c r="D18" s="51">
        <v>10</v>
      </c>
      <c r="E18" s="51">
        <v>10</v>
      </c>
      <c r="F18" s="53">
        <f t="shared" si="0"/>
        <v>10</v>
      </c>
      <c r="G18" s="51">
        <v>20</v>
      </c>
      <c r="H18" s="51">
        <v>20</v>
      </c>
      <c r="I18" s="51">
        <v>20</v>
      </c>
      <c r="J18" s="51">
        <v>20</v>
      </c>
      <c r="K18" s="53">
        <f t="shared" si="1"/>
        <v>20</v>
      </c>
      <c r="L18" s="50">
        <v>10</v>
      </c>
      <c r="M18" s="50">
        <v>10</v>
      </c>
      <c r="N18" s="50">
        <v>10</v>
      </c>
      <c r="O18" s="53">
        <f t="shared" si="2"/>
        <v>10</v>
      </c>
      <c r="P18" s="51">
        <v>20</v>
      </c>
      <c r="Q18" s="51">
        <v>20</v>
      </c>
      <c r="R18" s="51">
        <v>20</v>
      </c>
      <c r="S18" s="53">
        <f t="shared" si="3"/>
        <v>20</v>
      </c>
      <c r="T18" s="51">
        <v>20</v>
      </c>
      <c r="U18" s="51">
        <v>20</v>
      </c>
      <c r="V18" s="51">
        <v>20</v>
      </c>
      <c r="W18" s="53">
        <f t="shared" si="4"/>
        <v>20</v>
      </c>
      <c r="X18" s="53">
        <f t="shared" si="5"/>
        <v>40</v>
      </c>
      <c r="Y18" s="51">
        <v>20</v>
      </c>
      <c r="Z18" s="53">
        <f t="shared" si="6"/>
        <v>100</v>
      </c>
      <c r="AA18" s="54" t="str">
        <f t="shared" si="7"/>
        <v>APROBADO</v>
      </c>
    </row>
    <row r="19" spans="1:27" ht="12.75" customHeight="1" x14ac:dyDescent="0.2">
      <c r="A19" s="46">
        <v>11</v>
      </c>
      <c r="B19" s="55">
        <f>FILIACIÓN!B17</f>
        <v>0</v>
      </c>
      <c r="C19" s="51">
        <v>10</v>
      </c>
      <c r="D19" s="51">
        <v>10</v>
      </c>
      <c r="E19" s="51">
        <v>10</v>
      </c>
      <c r="F19" s="53">
        <f t="shared" si="0"/>
        <v>10</v>
      </c>
      <c r="G19" s="51">
        <v>20</v>
      </c>
      <c r="H19" s="51">
        <v>20</v>
      </c>
      <c r="I19" s="51">
        <v>20</v>
      </c>
      <c r="J19" s="51">
        <v>20</v>
      </c>
      <c r="K19" s="53">
        <f t="shared" si="1"/>
        <v>20</v>
      </c>
      <c r="L19" s="50">
        <v>10</v>
      </c>
      <c r="M19" s="50">
        <v>10</v>
      </c>
      <c r="N19" s="50">
        <v>10</v>
      </c>
      <c r="O19" s="53">
        <f t="shared" si="2"/>
        <v>10</v>
      </c>
      <c r="P19" s="51">
        <v>20</v>
      </c>
      <c r="Q19" s="51">
        <v>20</v>
      </c>
      <c r="R19" s="51">
        <v>20</v>
      </c>
      <c r="S19" s="53">
        <f t="shared" si="3"/>
        <v>20</v>
      </c>
      <c r="T19" s="51">
        <v>20</v>
      </c>
      <c r="U19" s="51">
        <v>20</v>
      </c>
      <c r="V19" s="51">
        <v>20</v>
      </c>
      <c r="W19" s="53">
        <f t="shared" si="4"/>
        <v>20</v>
      </c>
      <c r="X19" s="53">
        <f t="shared" si="5"/>
        <v>40</v>
      </c>
      <c r="Y19" s="51">
        <v>20</v>
      </c>
      <c r="Z19" s="53">
        <f t="shared" si="6"/>
        <v>100</v>
      </c>
      <c r="AA19" s="54" t="str">
        <f t="shared" si="7"/>
        <v>APROBADO</v>
      </c>
    </row>
    <row r="20" spans="1:27" ht="12.75" customHeight="1" x14ac:dyDescent="0.2">
      <c r="A20" s="46">
        <v>12</v>
      </c>
      <c r="B20" s="55">
        <f>FILIACIÓN!B18</f>
        <v>0</v>
      </c>
      <c r="C20" s="51">
        <v>10</v>
      </c>
      <c r="D20" s="51">
        <v>10</v>
      </c>
      <c r="E20" s="51">
        <v>10</v>
      </c>
      <c r="F20" s="53">
        <f t="shared" si="0"/>
        <v>10</v>
      </c>
      <c r="G20" s="51">
        <v>20</v>
      </c>
      <c r="H20" s="51">
        <v>20</v>
      </c>
      <c r="I20" s="51">
        <v>20</v>
      </c>
      <c r="J20" s="51">
        <v>20</v>
      </c>
      <c r="K20" s="53">
        <f t="shared" si="1"/>
        <v>20</v>
      </c>
      <c r="L20" s="50">
        <v>10</v>
      </c>
      <c r="M20" s="50">
        <v>10</v>
      </c>
      <c r="N20" s="50">
        <v>10</v>
      </c>
      <c r="O20" s="53">
        <f t="shared" si="2"/>
        <v>10</v>
      </c>
      <c r="P20" s="51">
        <v>20</v>
      </c>
      <c r="Q20" s="51">
        <v>20</v>
      </c>
      <c r="R20" s="51">
        <v>20</v>
      </c>
      <c r="S20" s="53">
        <f t="shared" si="3"/>
        <v>20</v>
      </c>
      <c r="T20" s="51">
        <v>20</v>
      </c>
      <c r="U20" s="51">
        <v>20</v>
      </c>
      <c r="V20" s="51">
        <v>20</v>
      </c>
      <c r="W20" s="53">
        <f t="shared" si="4"/>
        <v>20</v>
      </c>
      <c r="X20" s="53">
        <f t="shared" si="5"/>
        <v>40</v>
      </c>
      <c r="Y20" s="51">
        <v>20</v>
      </c>
      <c r="Z20" s="53">
        <f t="shared" si="6"/>
        <v>100</v>
      </c>
      <c r="AA20" s="54" t="str">
        <f t="shared" si="7"/>
        <v>APROBADO</v>
      </c>
    </row>
    <row r="21" spans="1:27" ht="12.75" customHeight="1" x14ac:dyDescent="0.2">
      <c r="A21" s="46">
        <v>13</v>
      </c>
      <c r="B21" s="55">
        <f>FILIACIÓN!B19</f>
        <v>0</v>
      </c>
      <c r="C21" s="51">
        <v>10</v>
      </c>
      <c r="D21" s="51">
        <v>10</v>
      </c>
      <c r="E21" s="51">
        <v>10</v>
      </c>
      <c r="F21" s="53">
        <f t="shared" si="0"/>
        <v>10</v>
      </c>
      <c r="G21" s="51">
        <v>20</v>
      </c>
      <c r="H21" s="51">
        <v>20</v>
      </c>
      <c r="I21" s="51">
        <v>20</v>
      </c>
      <c r="J21" s="51">
        <v>20</v>
      </c>
      <c r="K21" s="53">
        <f t="shared" si="1"/>
        <v>20</v>
      </c>
      <c r="L21" s="50">
        <v>10</v>
      </c>
      <c r="M21" s="50">
        <v>10</v>
      </c>
      <c r="N21" s="50">
        <v>10</v>
      </c>
      <c r="O21" s="53">
        <f t="shared" si="2"/>
        <v>10</v>
      </c>
      <c r="P21" s="51">
        <v>20</v>
      </c>
      <c r="Q21" s="51">
        <v>20</v>
      </c>
      <c r="R21" s="51">
        <v>20</v>
      </c>
      <c r="S21" s="53">
        <f t="shared" si="3"/>
        <v>20</v>
      </c>
      <c r="T21" s="51">
        <v>20</v>
      </c>
      <c r="U21" s="51">
        <v>20</v>
      </c>
      <c r="V21" s="51">
        <v>20</v>
      </c>
      <c r="W21" s="53">
        <f t="shared" si="4"/>
        <v>20</v>
      </c>
      <c r="X21" s="53">
        <f t="shared" si="5"/>
        <v>40</v>
      </c>
      <c r="Y21" s="51">
        <v>20</v>
      </c>
      <c r="Z21" s="53">
        <f t="shared" si="6"/>
        <v>100</v>
      </c>
      <c r="AA21" s="54" t="str">
        <f t="shared" si="7"/>
        <v>APROBADO</v>
      </c>
    </row>
    <row r="22" spans="1:27" ht="12.75" customHeight="1" x14ac:dyDescent="0.2">
      <c r="A22" s="46">
        <v>14</v>
      </c>
      <c r="B22" s="55">
        <f>FILIACIÓN!B20</f>
        <v>0</v>
      </c>
      <c r="C22" s="51">
        <v>10</v>
      </c>
      <c r="D22" s="51">
        <v>10</v>
      </c>
      <c r="E22" s="51">
        <v>10</v>
      </c>
      <c r="F22" s="53">
        <f t="shared" si="0"/>
        <v>10</v>
      </c>
      <c r="G22" s="51">
        <v>20</v>
      </c>
      <c r="H22" s="51">
        <v>20</v>
      </c>
      <c r="I22" s="51">
        <v>20</v>
      </c>
      <c r="J22" s="51">
        <v>20</v>
      </c>
      <c r="K22" s="53">
        <f t="shared" si="1"/>
        <v>20</v>
      </c>
      <c r="L22" s="50">
        <v>10</v>
      </c>
      <c r="M22" s="50">
        <v>10</v>
      </c>
      <c r="N22" s="50">
        <v>10</v>
      </c>
      <c r="O22" s="53">
        <f t="shared" si="2"/>
        <v>10</v>
      </c>
      <c r="P22" s="51">
        <v>20</v>
      </c>
      <c r="Q22" s="51">
        <v>20</v>
      </c>
      <c r="R22" s="51">
        <v>20</v>
      </c>
      <c r="S22" s="53">
        <f t="shared" si="3"/>
        <v>20</v>
      </c>
      <c r="T22" s="51">
        <v>20</v>
      </c>
      <c r="U22" s="51">
        <v>20</v>
      </c>
      <c r="V22" s="51">
        <v>20</v>
      </c>
      <c r="W22" s="53">
        <f t="shared" si="4"/>
        <v>20</v>
      </c>
      <c r="X22" s="53">
        <f t="shared" si="5"/>
        <v>40</v>
      </c>
      <c r="Y22" s="51">
        <v>20</v>
      </c>
      <c r="Z22" s="53">
        <f t="shared" si="6"/>
        <v>100</v>
      </c>
      <c r="AA22" s="54" t="str">
        <f t="shared" si="7"/>
        <v>APROBADO</v>
      </c>
    </row>
    <row r="23" spans="1:27" ht="12.75" customHeight="1" x14ac:dyDescent="0.2">
      <c r="A23" s="46">
        <v>15</v>
      </c>
      <c r="B23" s="55">
        <f>FILIACIÓN!B21</f>
        <v>0</v>
      </c>
      <c r="C23" s="51">
        <v>10</v>
      </c>
      <c r="D23" s="51">
        <v>10</v>
      </c>
      <c r="E23" s="51">
        <v>10</v>
      </c>
      <c r="F23" s="53">
        <f t="shared" si="0"/>
        <v>10</v>
      </c>
      <c r="G23" s="51">
        <v>20</v>
      </c>
      <c r="H23" s="51">
        <v>20</v>
      </c>
      <c r="I23" s="51">
        <v>20</v>
      </c>
      <c r="J23" s="51">
        <v>20</v>
      </c>
      <c r="K23" s="53">
        <f t="shared" si="1"/>
        <v>20</v>
      </c>
      <c r="L23" s="50">
        <v>10</v>
      </c>
      <c r="M23" s="50">
        <v>10</v>
      </c>
      <c r="N23" s="50">
        <v>10</v>
      </c>
      <c r="O23" s="53">
        <f t="shared" si="2"/>
        <v>10</v>
      </c>
      <c r="P23" s="51">
        <v>20</v>
      </c>
      <c r="Q23" s="51">
        <v>20</v>
      </c>
      <c r="R23" s="51">
        <v>20</v>
      </c>
      <c r="S23" s="53">
        <f t="shared" si="3"/>
        <v>20</v>
      </c>
      <c r="T23" s="51">
        <v>20</v>
      </c>
      <c r="U23" s="51">
        <v>20</v>
      </c>
      <c r="V23" s="51">
        <v>20</v>
      </c>
      <c r="W23" s="53">
        <f t="shared" si="4"/>
        <v>20</v>
      </c>
      <c r="X23" s="53">
        <f t="shared" si="5"/>
        <v>40</v>
      </c>
      <c r="Y23" s="51">
        <v>20</v>
      </c>
      <c r="Z23" s="53">
        <f t="shared" si="6"/>
        <v>100</v>
      </c>
      <c r="AA23" s="54" t="str">
        <f t="shared" si="7"/>
        <v>APROBADO</v>
      </c>
    </row>
    <row r="24" spans="1:27" ht="12.75" customHeight="1" x14ac:dyDescent="0.2">
      <c r="A24" s="46">
        <v>16</v>
      </c>
      <c r="B24" s="55">
        <f>FILIACIÓN!B22</f>
        <v>0</v>
      </c>
      <c r="C24" s="51">
        <v>10</v>
      </c>
      <c r="D24" s="51">
        <v>10</v>
      </c>
      <c r="E24" s="51">
        <v>10</v>
      </c>
      <c r="F24" s="53">
        <f t="shared" si="0"/>
        <v>10</v>
      </c>
      <c r="G24" s="51">
        <v>20</v>
      </c>
      <c r="H24" s="51">
        <v>20</v>
      </c>
      <c r="I24" s="51">
        <v>20</v>
      </c>
      <c r="J24" s="51">
        <v>20</v>
      </c>
      <c r="K24" s="53">
        <f t="shared" si="1"/>
        <v>20</v>
      </c>
      <c r="L24" s="50">
        <v>10</v>
      </c>
      <c r="M24" s="50">
        <v>10</v>
      </c>
      <c r="N24" s="50">
        <v>10</v>
      </c>
      <c r="O24" s="53">
        <f t="shared" si="2"/>
        <v>10</v>
      </c>
      <c r="P24" s="51">
        <v>20</v>
      </c>
      <c r="Q24" s="51">
        <v>20</v>
      </c>
      <c r="R24" s="51">
        <v>20</v>
      </c>
      <c r="S24" s="53">
        <f t="shared" si="3"/>
        <v>20</v>
      </c>
      <c r="T24" s="51">
        <v>20</v>
      </c>
      <c r="U24" s="51">
        <v>20</v>
      </c>
      <c r="V24" s="51">
        <v>20</v>
      </c>
      <c r="W24" s="53">
        <f t="shared" si="4"/>
        <v>20</v>
      </c>
      <c r="X24" s="53">
        <f t="shared" si="5"/>
        <v>40</v>
      </c>
      <c r="Y24" s="51">
        <v>20</v>
      </c>
      <c r="Z24" s="53">
        <f t="shared" si="6"/>
        <v>100</v>
      </c>
      <c r="AA24" s="54" t="str">
        <f t="shared" si="7"/>
        <v>APROBADO</v>
      </c>
    </row>
    <row r="25" spans="1:27" ht="12.75" customHeight="1" x14ac:dyDescent="0.2">
      <c r="A25" s="46">
        <v>17</v>
      </c>
      <c r="B25" s="55">
        <f>FILIACIÓN!B23</f>
        <v>0</v>
      </c>
      <c r="C25" s="51">
        <v>10</v>
      </c>
      <c r="D25" s="51">
        <v>10</v>
      </c>
      <c r="E25" s="51">
        <v>10</v>
      </c>
      <c r="F25" s="53">
        <f t="shared" si="0"/>
        <v>10</v>
      </c>
      <c r="G25" s="51">
        <v>20</v>
      </c>
      <c r="H25" s="51">
        <v>20</v>
      </c>
      <c r="I25" s="51">
        <v>20</v>
      </c>
      <c r="J25" s="51">
        <v>20</v>
      </c>
      <c r="K25" s="53">
        <f t="shared" si="1"/>
        <v>20</v>
      </c>
      <c r="L25" s="50">
        <v>10</v>
      </c>
      <c r="M25" s="50">
        <v>10</v>
      </c>
      <c r="N25" s="50">
        <v>10</v>
      </c>
      <c r="O25" s="53">
        <f t="shared" si="2"/>
        <v>10</v>
      </c>
      <c r="P25" s="51">
        <v>20</v>
      </c>
      <c r="Q25" s="51">
        <v>20</v>
      </c>
      <c r="R25" s="51">
        <v>20</v>
      </c>
      <c r="S25" s="53">
        <f t="shared" si="3"/>
        <v>20</v>
      </c>
      <c r="T25" s="51">
        <v>20</v>
      </c>
      <c r="U25" s="51">
        <v>20</v>
      </c>
      <c r="V25" s="51">
        <v>20</v>
      </c>
      <c r="W25" s="53">
        <f t="shared" si="4"/>
        <v>20</v>
      </c>
      <c r="X25" s="53">
        <f t="shared" si="5"/>
        <v>40</v>
      </c>
      <c r="Y25" s="51">
        <v>20</v>
      </c>
      <c r="Z25" s="53">
        <f t="shared" si="6"/>
        <v>100</v>
      </c>
      <c r="AA25" s="54" t="str">
        <f t="shared" si="7"/>
        <v>APROBADO</v>
      </c>
    </row>
    <row r="26" spans="1:27" ht="12.75" customHeight="1" x14ac:dyDescent="0.2">
      <c r="A26" s="46">
        <v>18</v>
      </c>
      <c r="B26" s="55">
        <f>FILIACIÓN!B24</f>
        <v>0</v>
      </c>
      <c r="C26" s="51">
        <v>10</v>
      </c>
      <c r="D26" s="51">
        <v>10</v>
      </c>
      <c r="E26" s="51">
        <v>10</v>
      </c>
      <c r="F26" s="53">
        <f t="shared" si="0"/>
        <v>10</v>
      </c>
      <c r="G26" s="51">
        <v>20</v>
      </c>
      <c r="H26" s="51">
        <v>20</v>
      </c>
      <c r="I26" s="51">
        <v>20</v>
      </c>
      <c r="J26" s="51">
        <v>20</v>
      </c>
      <c r="K26" s="53">
        <f t="shared" si="1"/>
        <v>20</v>
      </c>
      <c r="L26" s="50">
        <v>10</v>
      </c>
      <c r="M26" s="50">
        <v>10</v>
      </c>
      <c r="N26" s="50">
        <v>10</v>
      </c>
      <c r="O26" s="53">
        <f t="shared" si="2"/>
        <v>10</v>
      </c>
      <c r="P26" s="51">
        <v>20</v>
      </c>
      <c r="Q26" s="51">
        <v>20</v>
      </c>
      <c r="R26" s="51">
        <v>20</v>
      </c>
      <c r="S26" s="53">
        <f t="shared" si="3"/>
        <v>20</v>
      </c>
      <c r="T26" s="51">
        <v>20</v>
      </c>
      <c r="U26" s="51">
        <v>20</v>
      </c>
      <c r="V26" s="51">
        <v>20</v>
      </c>
      <c r="W26" s="53">
        <f t="shared" si="4"/>
        <v>20</v>
      </c>
      <c r="X26" s="53">
        <f t="shared" si="5"/>
        <v>40</v>
      </c>
      <c r="Y26" s="51">
        <v>20</v>
      </c>
      <c r="Z26" s="53">
        <f t="shared" si="6"/>
        <v>100</v>
      </c>
      <c r="AA26" s="54" t="str">
        <f t="shared" si="7"/>
        <v>APROBADO</v>
      </c>
    </row>
    <row r="27" spans="1:27" ht="12.75" customHeight="1" x14ac:dyDescent="0.2">
      <c r="A27" s="46">
        <v>19</v>
      </c>
      <c r="B27" s="55">
        <f>FILIACIÓN!B25</f>
        <v>0</v>
      </c>
      <c r="C27" s="51">
        <v>10</v>
      </c>
      <c r="D27" s="51">
        <v>10</v>
      </c>
      <c r="E27" s="51">
        <v>10</v>
      </c>
      <c r="F27" s="53">
        <f t="shared" si="0"/>
        <v>10</v>
      </c>
      <c r="G27" s="51">
        <v>20</v>
      </c>
      <c r="H27" s="51">
        <v>20</v>
      </c>
      <c r="I27" s="51">
        <v>20</v>
      </c>
      <c r="J27" s="51">
        <v>20</v>
      </c>
      <c r="K27" s="53">
        <f t="shared" si="1"/>
        <v>20</v>
      </c>
      <c r="L27" s="50">
        <v>10</v>
      </c>
      <c r="M27" s="50">
        <v>10</v>
      </c>
      <c r="N27" s="50">
        <v>10</v>
      </c>
      <c r="O27" s="53">
        <f t="shared" si="2"/>
        <v>10</v>
      </c>
      <c r="P27" s="51">
        <v>20</v>
      </c>
      <c r="Q27" s="51">
        <v>20</v>
      </c>
      <c r="R27" s="51">
        <v>20</v>
      </c>
      <c r="S27" s="53">
        <f t="shared" si="3"/>
        <v>20</v>
      </c>
      <c r="T27" s="51">
        <v>20</v>
      </c>
      <c r="U27" s="51">
        <v>20</v>
      </c>
      <c r="V27" s="51">
        <v>20</v>
      </c>
      <c r="W27" s="53">
        <f t="shared" si="4"/>
        <v>20</v>
      </c>
      <c r="X27" s="53">
        <f t="shared" si="5"/>
        <v>40</v>
      </c>
      <c r="Y27" s="51">
        <v>20</v>
      </c>
      <c r="Z27" s="53">
        <f t="shared" si="6"/>
        <v>100</v>
      </c>
      <c r="AA27" s="54" t="str">
        <f t="shared" si="7"/>
        <v>APROBADO</v>
      </c>
    </row>
    <row r="28" spans="1:27" ht="12.75" customHeight="1" x14ac:dyDescent="0.2">
      <c r="A28" s="46">
        <v>20</v>
      </c>
      <c r="B28" s="55">
        <f>FILIACIÓN!B26</f>
        <v>0</v>
      </c>
      <c r="C28" s="51">
        <v>10</v>
      </c>
      <c r="D28" s="51">
        <v>10</v>
      </c>
      <c r="E28" s="51">
        <v>10</v>
      </c>
      <c r="F28" s="53">
        <f t="shared" si="0"/>
        <v>10</v>
      </c>
      <c r="G28" s="51">
        <v>20</v>
      </c>
      <c r="H28" s="51">
        <v>20</v>
      </c>
      <c r="I28" s="51">
        <v>20</v>
      </c>
      <c r="J28" s="51">
        <v>20</v>
      </c>
      <c r="K28" s="53">
        <f t="shared" si="1"/>
        <v>20</v>
      </c>
      <c r="L28" s="50">
        <v>10</v>
      </c>
      <c r="M28" s="50">
        <v>10</v>
      </c>
      <c r="N28" s="50">
        <v>10</v>
      </c>
      <c r="O28" s="53">
        <f t="shared" si="2"/>
        <v>10</v>
      </c>
      <c r="P28" s="51">
        <v>20</v>
      </c>
      <c r="Q28" s="51">
        <v>20</v>
      </c>
      <c r="R28" s="51">
        <v>20</v>
      </c>
      <c r="S28" s="53">
        <f t="shared" si="3"/>
        <v>20</v>
      </c>
      <c r="T28" s="51">
        <v>20</v>
      </c>
      <c r="U28" s="51">
        <v>20</v>
      </c>
      <c r="V28" s="51">
        <v>20</v>
      </c>
      <c r="W28" s="53">
        <f t="shared" si="4"/>
        <v>20</v>
      </c>
      <c r="X28" s="53">
        <f t="shared" si="5"/>
        <v>40</v>
      </c>
      <c r="Y28" s="51">
        <v>20</v>
      </c>
      <c r="Z28" s="53">
        <f t="shared" si="6"/>
        <v>100</v>
      </c>
      <c r="AA28" s="54" t="str">
        <f t="shared" si="7"/>
        <v>APROBADO</v>
      </c>
    </row>
    <row r="29" spans="1:27" ht="12.75" customHeight="1" x14ac:dyDescent="0.2">
      <c r="A29" s="46">
        <v>21</v>
      </c>
      <c r="B29" s="55">
        <f>FILIACIÓN!B27</f>
        <v>0</v>
      </c>
      <c r="C29" s="51"/>
      <c r="D29" s="51"/>
      <c r="E29" s="51"/>
      <c r="F29" s="53" t="str">
        <f t="shared" si="0"/>
        <v/>
      </c>
      <c r="G29" s="51">
        <v>20</v>
      </c>
      <c r="H29" s="51">
        <v>20</v>
      </c>
      <c r="I29" s="51">
        <v>20</v>
      </c>
      <c r="J29" s="51">
        <v>20</v>
      </c>
      <c r="K29" s="53">
        <f t="shared" si="1"/>
        <v>20</v>
      </c>
      <c r="L29" s="50">
        <v>10</v>
      </c>
      <c r="M29" s="50">
        <v>10</v>
      </c>
      <c r="N29" s="50">
        <v>10</v>
      </c>
      <c r="O29" s="53">
        <f t="shared" si="2"/>
        <v>10</v>
      </c>
      <c r="P29" s="51">
        <v>20</v>
      </c>
      <c r="Q29" s="51">
        <v>20</v>
      </c>
      <c r="R29" s="51">
        <v>20</v>
      </c>
      <c r="S29" s="53">
        <f t="shared" si="3"/>
        <v>20</v>
      </c>
      <c r="T29" s="51">
        <v>20</v>
      </c>
      <c r="U29" s="51">
        <v>20</v>
      </c>
      <c r="V29" s="51">
        <v>20</v>
      </c>
      <c r="W29" s="53">
        <f t="shared" si="4"/>
        <v>20</v>
      </c>
      <c r="X29" s="53">
        <f t="shared" si="5"/>
        <v>40</v>
      </c>
      <c r="Y29" s="51">
        <v>20</v>
      </c>
      <c r="Z29" s="53">
        <f t="shared" si="6"/>
        <v>90</v>
      </c>
      <c r="AA29" s="54" t="str">
        <f t="shared" si="7"/>
        <v>APROBADO</v>
      </c>
    </row>
    <row r="30" spans="1:27" ht="12.75" customHeight="1" x14ac:dyDescent="0.2">
      <c r="A30" s="46">
        <v>22</v>
      </c>
      <c r="B30" s="55">
        <f>FILIACIÓN!B28</f>
        <v>0</v>
      </c>
      <c r="C30" s="51">
        <v>10</v>
      </c>
      <c r="D30" s="51">
        <v>10</v>
      </c>
      <c r="E30" s="51">
        <v>10</v>
      </c>
      <c r="F30" s="53">
        <f t="shared" si="0"/>
        <v>10</v>
      </c>
      <c r="G30" s="51">
        <v>20</v>
      </c>
      <c r="H30" s="51">
        <v>20</v>
      </c>
      <c r="I30" s="51">
        <v>20</v>
      </c>
      <c r="J30" s="51">
        <v>20</v>
      </c>
      <c r="K30" s="53">
        <f t="shared" si="1"/>
        <v>20</v>
      </c>
      <c r="L30" s="50">
        <v>10</v>
      </c>
      <c r="M30" s="50">
        <v>10</v>
      </c>
      <c r="N30" s="50">
        <v>10</v>
      </c>
      <c r="O30" s="53">
        <f t="shared" si="2"/>
        <v>10</v>
      </c>
      <c r="P30" s="51">
        <v>20</v>
      </c>
      <c r="Q30" s="51">
        <v>20</v>
      </c>
      <c r="R30" s="51">
        <v>20</v>
      </c>
      <c r="S30" s="53">
        <f t="shared" si="3"/>
        <v>20</v>
      </c>
      <c r="T30" s="51">
        <v>20</v>
      </c>
      <c r="U30" s="51">
        <v>20</v>
      </c>
      <c r="V30" s="51">
        <v>20</v>
      </c>
      <c r="W30" s="53">
        <f t="shared" si="4"/>
        <v>20</v>
      </c>
      <c r="X30" s="53">
        <f t="shared" si="5"/>
        <v>40</v>
      </c>
      <c r="Y30" s="51">
        <v>20</v>
      </c>
      <c r="Z30" s="53">
        <f t="shared" si="6"/>
        <v>100</v>
      </c>
      <c r="AA30" s="54" t="str">
        <f t="shared" si="7"/>
        <v>APROBADO</v>
      </c>
    </row>
    <row r="31" spans="1:27" ht="12.75" customHeight="1" x14ac:dyDescent="0.2">
      <c r="A31" s="46">
        <v>23</v>
      </c>
      <c r="B31" s="55">
        <f>FILIACIÓN!B29</f>
        <v>0</v>
      </c>
      <c r="C31" s="51">
        <v>10</v>
      </c>
      <c r="D31" s="51">
        <v>10</v>
      </c>
      <c r="E31" s="51">
        <v>10</v>
      </c>
      <c r="F31" s="53">
        <f t="shared" si="0"/>
        <v>10</v>
      </c>
      <c r="G31" s="51">
        <v>20</v>
      </c>
      <c r="H31" s="51">
        <v>20</v>
      </c>
      <c r="I31" s="51">
        <v>20</v>
      </c>
      <c r="J31" s="51">
        <v>20</v>
      </c>
      <c r="K31" s="53">
        <f t="shared" si="1"/>
        <v>20</v>
      </c>
      <c r="L31" s="50">
        <v>10</v>
      </c>
      <c r="M31" s="50">
        <v>10</v>
      </c>
      <c r="N31" s="50">
        <v>10</v>
      </c>
      <c r="O31" s="53">
        <f t="shared" si="2"/>
        <v>10</v>
      </c>
      <c r="P31" s="51">
        <v>20</v>
      </c>
      <c r="Q31" s="51">
        <v>20</v>
      </c>
      <c r="R31" s="51">
        <v>20</v>
      </c>
      <c r="S31" s="53">
        <f t="shared" si="3"/>
        <v>20</v>
      </c>
      <c r="T31" s="51">
        <v>20</v>
      </c>
      <c r="U31" s="51">
        <v>20</v>
      </c>
      <c r="V31" s="51">
        <v>20</v>
      </c>
      <c r="W31" s="53">
        <f t="shared" si="4"/>
        <v>20</v>
      </c>
      <c r="X31" s="53">
        <f t="shared" si="5"/>
        <v>40</v>
      </c>
      <c r="Y31" s="51">
        <v>20</v>
      </c>
      <c r="Z31" s="53">
        <f t="shared" si="6"/>
        <v>100</v>
      </c>
      <c r="AA31" s="54" t="str">
        <f t="shared" si="7"/>
        <v>APROBADO</v>
      </c>
    </row>
    <row r="32" spans="1:27" ht="12.75" customHeight="1" x14ac:dyDescent="0.2">
      <c r="A32" s="46">
        <v>24</v>
      </c>
      <c r="B32" s="55">
        <f>FILIACIÓN!B30</f>
        <v>0</v>
      </c>
      <c r="C32" s="51">
        <v>10</v>
      </c>
      <c r="D32" s="51">
        <v>10</v>
      </c>
      <c r="E32" s="51">
        <v>10</v>
      </c>
      <c r="F32" s="53">
        <f t="shared" si="0"/>
        <v>10</v>
      </c>
      <c r="G32" s="51">
        <v>20</v>
      </c>
      <c r="H32" s="51">
        <v>20</v>
      </c>
      <c r="I32" s="51">
        <v>20</v>
      </c>
      <c r="J32" s="51">
        <v>20</v>
      </c>
      <c r="K32" s="53">
        <f t="shared" si="1"/>
        <v>20</v>
      </c>
      <c r="L32" s="50">
        <v>10</v>
      </c>
      <c r="M32" s="50">
        <v>10</v>
      </c>
      <c r="N32" s="50">
        <v>10</v>
      </c>
      <c r="O32" s="53">
        <f t="shared" si="2"/>
        <v>10</v>
      </c>
      <c r="P32" s="51">
        <v>20</v>
      </c>
      <c r="Q32" s="51">
        <v>20</v>
      </c>
      <c r="R32" s="51">
        <v>20</v>
      </c>
      <c r="S32" s="53">
        <f t="shared" si="3"/>
        <v>20</v>
      </c>
      <c r="T32" s="51">
        <v>20</v>
      </c>
      <c r="U32" s="51">
        <v>20</v>
      </c>
      <c r="V32" s="51">
        <v>20</v>
      </c>
      <c r="W32" s="53">
        <f t="shared" si="4"/>
        <v>20</v>
      </c>
      <c r="X32" s="53">
        <f t="shared" si="5"/>
        <v>40</v>
      </c>
      <c r="Y32" s="51">
        <v>20</v>
      </c>
      <c r="Z32" s="53">
        <f t="shared" si="6"/>
        <v>100</v>
      </c>
      <c r="AA32" s="54" t="str">
        <f t="shared" si="7"/>
        <v>APROBADO</v>
      </c>
    </row>
    <row r="33" spans="1:27" ht="12.75" customHeight="1" x14ac:dyDescent="0.2">
      <c r="A33" s="46">
        <v>25</v>
      </c>
      <c r="B33" s="55">
        <f>FILIACIÓN!B31</f>
        <v>0</v>
      </c>
      <c r="C33" s="51">
        <v>10</v>
      </c>
      <c r="D33" s="51">
        <v>10</v>
      </c>
      <c r="E33" s="51">
        <v>10</v>
      </c>
      <c r="F33" s="53">
        <f t="shared" si="0"/>
        <v>10</v>
      </c>
      <c r="G33" s="51">
        <v>20</v>
      </c>
      <c r="H33" s="51">
        <v>20</v>
      </c>
      <c r="I33" s="51">
        <v>20</v>
      </c>
      <c r="J33" s="51">
        <v>20</v>
      </c>
      <c r="K33" s="53">
        <f t="shared" si="1"/>
        <v>20</v>
      </c>
      <c r="L33" s="50">
        <v>10</v>
      </c>
      <c r="M33" s="50">
        <v>10</v>
      </c>
      <c r="N33" s="50">
        <v>10</v>
      </c>
      <c r="O33" s="53">
        <f t="shared" si="2"/>
        <v>10</v>
      </c>
      <c r="P33" s="51">
        <v>20</v>
      </c>
      <c r="Q33" s="51">
        <v>20</v>
      </c>
      <c r="R33" s="51">
        <v>20</v>
      </c>
      <c r="S33" s="53">
        <f t="shared" si="3"/>
        <v>20</v>
      </c>
      <c r="T33" s="51">
        <v>20</v>
      </c>
      <c r="U33" s="51">
        <v>20</v>
      </c>
      <c r="V33" s="51">
        <v>20</v>
      </c>
      <c r="W33" s="53">
        <f t="shared" si="4"/>
        <v>20</v>
      </c>
      <c r="X33" s="53">
        <f t="shared" si="5"/>
        <v>40</v>
      </c>
      <c r="Y33" s="51">
        <v>20</v>
      </c>
      <c r="Z33" s="53">
        <f t="shared" si="6"/>
        <v>100</v>
      </c>
      <c r="AA33" s="54" t="str">
        <f t="shared" si="7"/>
        <v>APROBADO</v>
      </c>
    </row>
    <row r="34" spans="1:27" ht="12.75" customHeight="1" x14ac:dyDescent="0.2">
      <c r="A34" s="46">
        <v>26</v>
      </c>
      <c r="B34" s="55">
        <f>FILIACIÓN!B32</f>
        <v>0</v>
      </c>
      <c r="C34" s="51">
        <v>10</v>
      </c>
      <c r="D34" s="51">
        <v>10</v>
      </c>
      <c r="E34" s="51">
        <v>10</v>
      </c>
      <c r="F34" s="53">
        <f t="shared" si="0"/>
        <v>10</v>
      </c>
      <c r="G34" s="51">
        <v>20</v>
      </c>
      <c r="H34" s="51">
        <v>20</v>
      </c>
      <c r="I34" s="51">
        <v>20</v>
      </c>
      <c r="J34" s="51">
        <v>20</v>
      </c>
      <c r="K34" s="53">
        <f t="shared" si="1"/>
        <v>20</v>
      </c>
      <c r="L34" s="50">
        <v>10</v>
      </c>
      <c r="M34" s="50">
        <v>10</v>
      </c>
      <c r="N34" s="50">
        <v>10</v>
      </c>
      <c r="O34" s="53">
        <f t="shared" si="2"/>
        <v>10</v>
      </c>
      <c r="P34" s="51">
        <v>20</v>
      </c>
      <c r="Q34" s="51">
        <v>20</v>
      </c>
      <c r="R34" s="51">
        <v>20</v>
      </c>
      <c r="S34" s="53">
        <f t="shared" si="3"/>
        <v>20</v>
      </c>
      <c r="T34" s="51">
        <v>20</v>
      </c>
      <c r="U34" s="51">
        <v>20</v>
      </c>
      <c r="V34" s="51">
        <v>20</v>
      </c>
      <c r="W34" s="53">
        <f t="shared" si="4"/>
        <v>20</v>
      </c>
      <c r="X34" s="53">
        <f t="shared" si="5"/>
        <v>40</v>
      </c>
      <c r="Y34" s="51">
        <v>20</v>
      </c>
      <c r="Z34" s="53">
        <f t="shared" si="6"/>
        <v>100</v>
      </c>
      <c r="AA34" s="54" t="str">
        <f t="shared" si="7"/>
        <v>APROBADO</v>
      </c>
    </row>
    <row r="35" spans="1:27" ht="12.75" customHeight="1" x14ac:dyDescent="0.2">
      <c r="A35" s="46">
        <v>27</v>
      </c>
      <c r="B35" s="55">
        <f>FILIACIÓN!B33</f>
        <v>0</v>
      </c>
      <c r="C35" s="51">
        <v>10</v>
      </c>
      <c r="D35" s="51">
        <v>10</v>
      </c>
      <c r="E35" s="51">
        <v>10</v>
      </c>
      <c r="F35" s="53">
        <f t="shared" si="0"/>
        <v>10</v>
      </c>
      <c r="G35" s="51">
        <v>20</v>
      </c>
      <c r="H35" s="51">
        <v>20</v>
      </c>
      <c r="I35" s="51">
        <v>20</v>
      </c>
      <c r="J35" s="51">
        <v>20</v>
      </c>
      <c r="K35" s="53">
        <f t="shared" si="1"/>
        <v>20</v>
      </c>
      <c r="L35" s="50">
        <v>10</v>
      </c>
      <c r="M35" s="50">
        <v>10</v>
      </c>
      <c r="N35" s="50">
        <v>10</v>
      </c>
      <c r="O35" s="53">
        <f t="shared" si="2"/>
        <v>10</v>
      </c>
      <c r="P35" s="51">
        <v>20</v>
      </c>
      <c r="Q35" s="51">
        <v>20</v>
      </c>
      <c r="R35" s="51">
        <v>20</v>
      </c>
      <c r="S35" s="53">
        <f t="shared" si="3"/>
        <v>20</v>
      </c>
      <c r="T35" s="51">
        <v>20</v>
      </c>
      <c r="U35" s="51">
        <v>20</v>
      </c>
      <c r="V35" s="51">
        <v>20</v>
      </c>
      <c r="W35" s="53">
        <f t="shared" si="4"/>
        <v>20</v>
      </c>
      <c r="X35" s="53">
        <f t="shared" si="5"/>
        <v>40</v>
      </c>
      <c r="Y35" s="51">
        <v>20</v>
      </c>
      <c r="Z35" s="53">
        <f t="shared" si="6"/>
        <v>100</v>
      </c>
      <c r="AA35" s="54" t="str">
        <f t="shared" si="7"/>
        <v>APROBADO</v>
      </c>
    </row>
    <row r="36" spans="1:27" ht="12.75" customHeight="1" x14ac:dyDescent="0.2">
      <c r="A36" s="46">
        <v>28</v>
      </c>
      <c r="B36" s="55">
        <f>FILIACIÓN!B34</f>
        <v>0</v>
      </c>
      <c r="C36" s="51">
        <v>10</v>
      </c>
      <c r="D36" s="51">
        <v>10</v>
      </c>
      <c r="E36" s="51">
        <v>10</v>
      </c>
      <c r="F36" s="53">
        <f t="shared" si="0"/>
        <v>10</v>
      </c>
      <c r="G36" s="51">
        <v>20</v>
      </c>
      <c r="H36" s="51">
        <v>20</v>
      </c>
      <c r="I36" s="51">
        <v>20</v>
      </c>
      <c r="J36" s="51">
        <v>20</v>
      </c>
      <c r="K36" s="53">
        <f t="shared" si="1"/>
        <v>20</v>
      </c>
      <c r="L36" s="50">
        <v>10</v>
      </c>
      <c r="M36" s="50">
        <v>10</v>
      </c>
      <c r="N36" s="50">
        <v>10</v>
      </c>
      <c r="O36" s="53">
        <f t="shared" si="2"/>
        <v>10</v>
      </c>
      <c r="P36" s="51">
        <v>20</v>
      </c>
      <c r="Q36" s="51">
        <v>20</v>
      </c>
      <c r="R36" s="51">
        <v>20</v>
      </c>
      <c r="S36" s="53">
        <f t="shared" si="3"/>
        <v>20</v>
      </c>
      <c r="T36" s="51">
        <v>20</v>
      </c>
      <c r="U36" s="51">
        <v>20</v>
      </c>
      <c r="V36" s="51">
        <v>20</v>
      </c>
      <c r="W36" s="53">
        <f t="shared" si="4"/>
        <v>20</v>
      </c>
      <c r="X36" s="53">
        <f t="shared" si="5"/>
        <v>40</v>
      </c>
      <c r="Y36" s="51">
        <v>20</v>
      </c>
      <c r="Z36" s="53">
        <f t="shared" si="6"/>
        <v>100</v>
      </c>
      <c r="AA36" s="54" t="str">
        <f t="shared" si="7"/>
        <v>APROBADO</v>
      </c>
    </row>
    <row r="37" spans="1:27" ht="12.75" customHeight="1" x14ac:dyDescent="0.2">
      <c r="A37" s="46">
        <v>29</v>
      </c>
      <c r="B37" s="55">
        <f>FILIACIÓN!B35</f>
        <v>0</v>
      </c>
      <c r="C37" s="51">
        <v>10</v>
      </c>
      <c r="D37" s="51">
        <v>10</v>
      </c>
      <c r="E37" s="51">
        <v>10</v>
      </c>
      <c r="F37" s="53">
        <f t="shared" si="0"/>
        <v>10</v>
      </c>
      <c r="G37" s="51">
        <v>20</v>
      </c>
      <c r="H37" s="51">
        <v>20</v>
      </c>
      <c r="I37" s="51">
        <v>20</v>
      </c>
      <c r="J37" s="51">
        <v>20</v>
      </c>
      <c r="K37" s="53">
        <f t="shared" si="1"/>
        <v>20</v>
      </c>
      <c r="L37" s="50">
        <v>10</v>
      </c>
      <c r="M37" s="50">
        <v>10</v>
      </c>
      <c r="N37" s="50">
        <v>10</v>
      </c>
      <c r="O37" s="53">
        <f t="shared" si="2"/>
        <v>10</v>
      </c>
      <c r="P37" s="51">
        <v>20</v>
      </c>
      <c r="Q37" s="51">
        <v>20</v>
      </c>
      <c r="R37" s="51">
        <v>20</v>
      </c>
      <c r="S37" s="53">
        <f t="shared" si="3"/>
        <v>20</v>
      </c>
      <c r="T37" s="51">
        <v>20</v>
      </c>
      <c r="U37" s="51">
        <v>20</v>
      </c>
      <c r="V37" s="51">
        <v>20</v>
      </c>
      <c r="W37" s="53">
        <f t="shared" si="4"/>
        <v>20</v>
      </c>
      <c r="X37" s="53">
        <f t="shared" si="5"/>
        <v>40</v>
      </c>
      <c r="Y37" s="51">
        <v>20</v>
      </c>
      <c r="Z37" s="53">
        <f t="shared" si="6"/>
        <v>100</v>
      </c>
      <c r="AA37" s="54" t="str">
        <f t="shared" si="7"/>
        <v>APROBADO</v>
      </c>
    </row>
    <row r="38" spans="1:27" ht="12.75" customHeight="1" x14ac:dyDescent="0.2">
      <c r="A38" s="46">
        <v>30</v>
      </c>
      <c r="B38" s="55">
        <f>FILIACIÓN!B36</f>
        <v>0</v>
      </c>
      <c r="C38" s="51">
        <v>10</v>
      </c>
      <c r="D38" s="51">
        <v>10</v>
      </c>
      <c r="E38" s="51">
        <v>10</v>
      </c>
      <c r="F38" s="53">
        <f t="shared" si="0"/>
        <v>10</v>
      </c>
      <c r="G38" s="51">
        <v>20</v>
      </c>
      <c r="H38" s="51">
        <v>20</v>
      </c>
      <c r="I38" s="51">
        <v>20</v>
      </c>
      <c r="J38" s="51">
        <v>20</v>
      </c>
      <c r="K38" s="53">
        <f t="shared" si="1"/>
        <v>20</v>
      </c>
      <c r="L38" s="50">
        <v>10</v>
      </c>
      <c r="M38" s="50">
        <v>10</v>
      </c>
      <c r="N38" s="50">
        <v>10</v>
      </c>
      <c r="O38" s="53">
        <f t="shared" si="2"/>
        <v>10</v>
      </c>
      <c r="P38" s="51">
        <v>20</v>
      </c>
      <c r="Q38" s="51">
        <v>20</v>
      </c>
      <c r="R38" s="51">
        <v>20</v>
      </c>
      <c r="S38" s="53">
        <f t="shared" si="3"/>
        <v>20</v>
      </c>
      <c r="T38" s="51">
        <v>20</v>
      </c>
      <c r="U38" s="51">
        <v>20</v>
      </c>
      <c r="V38" s="51">
        <v>20</v>
      </c>
      <c r="W38" s="53">
        <f t="shared" si="4"/>
        <v>20</v>
      </c>
      <c r="X38" s="53">
        <f t="shared" si="5"/>
        <v>40</v>
      </c>
      <c r="Y38" s="51">
        <v>20</v>
      </c>
      <c r="Z38" s="53">
        <f t="shared" si="6"/>
        <v>100</v>
      </c>
      <c r="AA38" s="54" t="str">
        <f t="shared" si="7"/>
        <v>APROBADO</v>
      </c>
    </row>
    <row r="39" spans="1:27" ht="12.75" customHeight="1" x14ac:dyDescent="0.2">
      <c r="A39" s="46">
        <v>31</v>
      </c>
      <c r="B39" s="55">
        <f>FILIACIÓN!B37</f>
        <v>0</v>
      </c>
      <c r="C39" s="51">
        <v>10</v>
      </c>
      <c r="D39" s="51">
        <v>10</v>
      </c>
      <c r="E39" s="51">
        <v>10</v>
      </c>
      <c r="F39" s="53">
        <f t="shared" si="0"/>
        <v>10</v>
      </c>
      <c r="G39" s="51">
        <v>20</v>
      </c>
      <c r="H39" s="51">
        <v>20</v>
      </c>
      <c r="I39" s="51">
        <v>20</v>
      </c>
      <c r="J39" s="51">
        <v>20</v>
      </c>
      <c r="K39" s="53">
        <f t="shared" si="1"/>
        <v>20</v>
      </c>
      <c r="L39" s="50">
        <v>10</v>
      </c>
      <c r="M39" s="50">
        <v>10</v>
      </c>
      <c r="N39" s="50">
        <v>10</v>
      </c>
      <c r="O39" s="53">
        <f t="shared" si="2"/>
        <v>10</v>
      </c>
      <c r="P39" s="51">
        <v>20</v>
      </c>
      <c r="Q39" s="51">
        <v>20</v>
      </c>
      <c r="R39" s="51">
        <v>20</v>
      </c>
      <c r="S39" s="53">
        <f t="shared" si="3"/>
        <v>20</v>
      </c>
      <c r="T39" s="51">
        <v>20</v>
      </c>
      <c r="U39" s="51">
        <v>20</v>
      </c>
      <c r="V39" s="51">
        <v>20</v>
      </c>
      <c r="W39" s="53">
        <f t="shared" si="4"/>
        <v>20</v>
      </c>
      <c r="X39" s="53">
        <f t="shared" si="5"/>
        <v>40</v>
      </c>
      <c r="Y39" s="51">
        <v>20</v>
      </c>
      <c r="Z39" s="53">
        <f t="shared" si="6"/>
        <v>100</v>
      </c>
      <c r="AA39" s="54" t="str">
        <f t="shared" si="7"/>
        <v>APROBADO</v>
      </c>
    </row>
    <row r="40" spans="1:27" ht="12.75" customHeight="1" x14ac:dyDescent="0.2">
      <c r="A40" s="46">
        <v>32</v>
      </c>
      <c r="B40" s="55">
        <f>FILIACIÓN!B38</f>
        <v>0</v>
      </c>
      <c r="C40" s="51">
        <v>10</v>
      </c>
      <c r="D40" s="51">
        <v>10</v>
      </c>
      <c r="E40" s="51">
        <v>10</v>
      </c>
      <c r="F40" s="53">
        <f t="shared" si="0"/>
        <v>10</v>
      </c>
      <c r="G40" s="51">
        <v>20</v>
      </c>
      <c r="H40" s="51">
        <v>20</v>
      </c>
      <c r="I40" s="51">
        <v>20</v>
      </c>
      <c r="J40" s="51">
        <v>20</v>
      </c>
      <c r="K40" s="53">
        <f t="shared" si="1"/>
        <v>20</v>
      </c>
      <c r="L40" s="50">
        <v>10</v>
      </c>
      <c r="M40" s="50">
        <v>10</v>
      </c>
      <c r="N40" s="50">
        <v>10</v>
      </c>
      <c r="O40" s="53">
        <f t="shared" si="2"/>
        <v>10</v>
      </c>
      <c r="P40" s="51">
        <v>20</v>
      </c>
      <c r="Q40" s="51">
        <v>20</v>
      </c>
      <c r="R40" s="51">
        <v>20</v>
      </c>
      <c r="S40" s="53">
        <f t="shared" si="3"/>
        <v>20</v>
      </c>
      <c r="T40" s="51">
        <v>20</v>
      </c>
      <c r="U40" s="51">
        <v>20</v>
      </c>
      <c r="V40" s="51">
        <v>20</v>
      </c>
      <c r="W40" s="53">
        <f t="shared" si="4"/>
        <v>20</v>
      </c>
      <c r="X40" s="53">
        <f t="shared" si="5"/>
        <v>40</v>
      </c>
      <c r="Y40" s="51">
        <v>20</v>
      </c>
      <c r="Z40" s="53">
        <f t="shared" si="6"/>
        <v>100</v>
      </c>
      <c r="AA40" s="54" t="str">
        <f t="shared" si="7"/>
        <v>APROBADO</v>
      </c>
    </row>
    <row r="41" spans="1:27" ht="12.75" customHeight="1" x14ac:dyDescent="0.2">
      <c r="A41" s="46">
        <v>33</v>
      </c>
      <c r="B41" s="55">
        <f>FILIACIÓN!B39</f>
        <v>0</v>
      </c>
      <c r="C41" s="51">
        <v>10</v>
      </c>
      <c r="D41" s="51">
        <v>10</v>
      </c>
      <c r="E41" s="51">
        <v>10</v>
      </c>
      <c r="F41" s="53">
        <f t="shared" si="0"/>
        <v>10</v>
      </c>
      <c r="G41" s="51">
        <v>20</v>
      </c>
      <c r="H41" s="51">
        <v>20</v>
      </c>
      <c r="I41" s="51">
        <v>20</v>
      </c>
      <c r="J41" s="51">
        <v>20</v>
      </c>
      <c r="K41" s="53">
        <f t="shared" si="1"/>
        <v>20</v>
      </c>
      <c r="L41" s="50">
        <v>10</v>
      </c>
      <c r="M41" s="50">
        <v>10</v>
      </c>
      <c r="N41" s="50">
        <v>10</v>
      </c>
      <c r="O41" s="53">
        <f t="shared" si="2"/>
        <v>10</v>
      </c>
      <c r="P41" s="51">
        <v>20</v>
      </c>
      <c r="Q41" s="51">
        <v>20</v>
      </c>
      <c r="R41" s="51">
        <v>20</v>
      </c>
      <c r="S41" s="53">
        <f t="shared" si="3"/>
        <v>20</v>
      </c>
      <c r="T41" s="51">
        <v>20</v>
      </c>
      <c r="U41" s="51">
        <v>20</v>
      </c>
      <c r="V41" s="51">
        <v>20</v>
      </c>
      <c r="W41" s="53">
        <f t="shared" si="4"/>
        <v>20</v>
      </c>
      <c r="X41" s="53">
        <f t="shared" si="5"/>
        <v>40</v>
      </c>
      <c r="Y41" s="51">
        <v>20</v>
      </c>
      <c r="Z41" s="53">
        <f t="shared" si="6"/>
        <v>100</v>
      </c>
      <c r="AA41" s="54" t="str">
        <f t="shared" si="7"/>
        <v>APROBADO</v>
      </c>
    </row>
    <row r="42" spans="1:27" ht="12.75" customHeight="1" x14ac:dyDescent="0.2">
      <c r="A42" s="46">
        <v>34</v>
      </c>
      <c r="B42" s="55">
        <f>FILIACIÓN!B40</f>
        <v>0</v>
      </c>
      <c r="C42" s="51">
        <v>10</v>
      </c>
      <c r="D42" s="51">
        <v>10</v>
      </c>
      <c r="E42" s="51">
        <v>10</v>
      </c>
      <c r="F42" s="53">
        <f t="shared" si="0"/>
        <v>10</v>
      </c>
      <c r="G42" s="51">
        <v>20</v>
      </c>
      <c r="H42" s="51">
        <v>20</v>
      </c>
      <c r="I42" s="51">
        <v>20</v>
      </c>
      <c r="J42" s="51">
        <v>20</v>
      </c>
      <c r="K42" s="53">
        <f t="shared" si="1"/>
        <v>20</v>
      </c>
      <c r="L42" s="50">
        <v>10</v>
      </c>
      <c r="M42" s="50">
        <v>10</v>
      </c>
      <c r="N42" s="50">
        <v>10</v>
      </c>
      <c r="O42" s="53">
        <f t="shared" si="2"/>
        <v>10</v>
      </c>
      <c r="P42" s="51">
        <v>20</v>
      </c>
      <c r="Q42" s="51">
        <v>20</v>
      </c>
      <c r="R42" s="51">
        <v>20</v>
      </c>
      <c r="S42" s="53">
        <f t="shared" si="3"/>
        <v>20</v>
      </c>
      <c r="T42" s="51">
        <v>20</v>
      </c>
      <c r="U42" s="51">
        <v>20</v>
      </c>
      <c r="V42" s="51">
        <v>20</v>
      </c>
      <c r="W42" s="53">
        <f t="shared" si="4"/>
        <v>20</v>
      </c>
      <c r="X42" s="53">
        <f t="shared" si="5"/>
        <v>40</v>
      </c>
      <c r="Y42" s="51">
        <v>20</v>
      </c>
      <c r="Z42" s="53">
        <f t="shared" si="6"/>
        <v>100</v>
      </c>
      <c r="AA42" s="54" t="str">
        <f t="shared" si="7"/>
        <v>APROBADO</v>
      </c>
    </row>
    <row r="43" spans="1:27" ht="12.75" customHeight="1" x14ac:dyDescent="0.2">
      <c r="A43" s="46">
        <v>35</v>
      </c>
      <c r="B43" s="55">
        <f>FILIACIÓN!B41</f>
        <v>0</v>
      </c>
      <c r="C43" s="51">
        <v>10</v>
      </c>
      <c r="D43" s="51">
        <v>10</v>
      </c>
      <c r="E43" s="51">
        <v>10</v>
      </c>
      <c r="F43" s="53">
        <f t="shared" si="0"/>
        <v>10</v>
      </c>
      <c r="G43" s="51">
        <v>20</v>
      </c>
      <c r="H43" s="51">
        <v>20</v>
      </c>
      <c r="I43" s="51">
        <v>20</v>
      </c>
      <c r="J43" s="51">
        <v>20</v>
      </c>
      <c r="K43" s="53">
        <f t="shared" si="1"/>
        <v>20</v>
      </c>
      <c r="L43" s="50">
        <v>10</v>
      </c>
      <c r="M43" s="50">
        <v>10</v>
      </c>
      <c r="N43" s="50">
        <v>10</v>
      </c>
      <c r="O43" s="53">
        <f t="shared" si="2"/>
        <v>10</v>
      </c>
      <c r="P43" s="51">
        <v>20</v>
      </c>
      <c r="Q43" s="51">
        <v>20</v>
      </c>
      <c r="R43" s="51">
        <v>20</v>
      </c>
      <c r="S43" s="53">
        <f t="shared" si="3"/>
        <v>20</v>
      </c>
      <c r="T43" s="51">
        <v>20</v>
      </c>
      <c r="U43" s="51">
        <v>20</v>
      </c>
      <c r="V43" s="51">
        <v>20</v>
      </c>
      <c r="W43" s="53">
        <f t="shared" si="4"/>
        <v>20</v>
      </c>
      <c r="X43" s="53">
        <f t="shared" si="5"/>
        <v>40</v>
      </c>
      <c r="Y43" s="51">
        <v>20</v>
      </c>
      <c r="Z43" s="53">
        <f t="shared" si="6"/>
        <v>100</v>
      </c>
      <c r="AA43" s="54" t="str">
        <f t="shared" si="7"/>
        <v>APROBADO</v>
      </c>
    </row>
  </sheetData>
  <sheetProtection algorithmName="SHA-512" hashValue="c1cN1WQ7ZjXcMwr4H6fBsapsVsv337RL11vQNkDh86KQaBTdtnflTfNQN1V35KwKuWAHtGz21/x+T00XZajNFQ==" saltValue="JkFklo54DrM9rr9vTcm1Yg==" spinCount="100000" sheet="1" objects="1" scenarios="1"/>
  <mergeCells count="17">
    <mergeCell ref="X6:X8"/>
    <mergeCell ref="Y6:Y8"/>
    <mergeCell ref="Z6:Z8"/>
    <mergeCell ref="B2:AA2"/>
    <mergeCell ref="P3:S3"/>
    <mergeCell ref="T3:W3"/>
    <mergeCell ref="O7:O8"/>
    <mergeCell ref="P6:V6"/>
    <mergeCell ref="S7:S8"/>
    <mergeCell ref="P7:R7"/>
    <mergeCell ref="T7:V7"/>
    <mergeCell ref="C7:E7"/>
    <mergeCell ref="F7:F8"/>
    <mergeCell ref="G7:J7"/>
    <mergeCell ref="K7:K8"/>
    <mergeCell ref="L7:N7"/>
    <mergeCell ref="W6:W8"/>
  </mergeCells>
  <conditionalFormatting sqref="F9:F43">
    <cfRule type="top10" dxfId="9" priority="5" bottom="1" rank="10"/>
  </conditionalFormatting>
  <conditionalFormatting sqref="K9:K43">
    <cfRule type="top10" dxfId="8" priority="4" bottom="1" rank="10"/>
  </conditionalFormatting>
  <conditionalFormatting sqref="O9:O43">
    <cfRule type="top10" dxfId="7" priority="3" bottom="1" rank="10"/>
  </conditionalFormatting>
  <conditionalFormatting sqref="S9:S43">
    <cfRule type="top10" dxfId="6" priority="2" bottom="1" rank="10"/>
  </conditionalFormatting>
  <conditionalFormatting sqref="W9:W43">
    <cfRule type="top10" dxfId="5" priority="1" bottom="1" rank="10"/>
  </conditionalFormatting>
  <dataValidations count="2">
    <dataValidation type="whole" allowBlank="1" showInputMessage="1" showErrorMessage="1" error="ESCRIBA ENTRE 0 Y 10" sqref="C9:E43 L9:N43" xr:uid="{D0568BFD-F07C-4643-9199-5784CA60F5C9}">
      <formula1>0</formula1>
      <formula2>10</formula2>
    </dataValidation>
    <dataValidation type="whole" allowBlank="1" showInputMessage="1" showErrorMessage="1" error="ESCRIBA ENTRE 0 Y 20" sqref="G9:J43 P9:R43 T9:V43 Y9:Y43" xr:uid="{74E989DB-BDD2-488F-89D7-EE222A61CECA}">
      <formula1>0</formula1>
      <formula2>20</formula2>
    </dataValidation>
  </dataValidation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otón2_Haga_clic_en">
                <anchor>
                  <from>
                    <xdr:col>25</xdr:col>
                    <xdr:colOff>257175</xdr:colOff>
                    <xdr:row>4</xdr:row>
                    <xdr:rowOff>76200</xdr:rowOff>
                  </from>
                  <to>
                    <xdr:col>26</xdr:col>
                    <xdr:colOff>895350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5988-9C15-4A51-B5F9-4F95C246A8F6}">
  <sheetPr codeName="Hoja8">
    <tabColor rgb="FFC00000"/>
  </sheetPr>
  <dimension ref="A1:AH73"/>
  <sheetViews>
    <sheetView zoomScale="110" zoomScaleNormal="110" workbookViewId="0">
      <selection activeCell="B7" sqref="B7"/>
    </sheetView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66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36</v>
      </c>
      <c r="N13" s="24" t="s">
        <v>36</v>
      </c>
      <c r="O13" s="24" t="s">
        <v>36</v>
      </c>
      <c r="P13" s="24" t="s">
        <v>35</v>
      </c>
      <c r="Q13" s="24" t="s">
        <v>35</v>
      </c>
      <c r="R13" s="24" t="s">
        <v>35</v>
      </c>
      <c r="S13" s="24" t="s">
        <v>46</v>
      </c>
      <c r="T13" s="24" t="s">
        <v>46</v>
      </c>
      <c r="U13" s="24" t="s">
        <v>46</v>
      </c>
      <c r="V13" s="24" t="s">
        <v>46</v>
      </c>
      <c r="W13" s="26" t="s">
        <v>47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 t="s">
        <v>47</v>
      </c>
      <c r="AC13" s="26" t="s">
        <v>47</v>
      </c>
      <c r="AD13" s="30">
        <f t="shared" si="0"/>
        <v>13</v>
      </c>
      <c r="AE13" s="29">
        <f t="shared" si="1"/>
        <v>3</v>
      </c>
      <c r="AF13" s="29">
        <f t="shared" si="2"/>
        <v>4</v>
      </c>
      <c r="AG13" s="29">
        <f t="shared" si="3"/>
        <v>7</v>
      </c>
      <c r="AH13" s="29">
        <f t="shared" si="4"/>
        <v>14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2_Haga_clic_en">
                <anchor>
                  <from>
                    <xdr:col>34</xdr:col>
                    <xdr:colOff>38100</xdr:colOff>
                    <xdr:row>6</xdr:row>
                    <xdr:rowOff>47625</xdr:rowOff>
                  </from>
                  <to>
                    <xdr:col>35</xdr:col>
                    <xdr:colOff>428625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875E9-8265-4EF2-946F-4680ED170CBC}">
  <sheetPr codeName="Hoja9">
    <tabColor rgb="FFC00000"/>
  </sheetPr>
  <dimension ref="A1:AH73"/>
  <sheetViews>
    <sheetView zoomScale="110" zoomScaleNormal="110" workbookViewId="0">
      <selection activeCell="B7" sqref="B7"/>
    </sheetView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67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36</v>
      </c>
      <c r="N13" s="24" t="s">
        <v>36</v>
      </c>
      <c r="O13" s="24" t="s">
        <v>36</v>
      </c>
      <c r="P13" s="24" t="s">
        <v>35</v>
      </c>
      <c r="Q13" s="24" t="s">
        <v>35</v>
      </c>
      <c r="R13" s="24" t="s">
        <v>35</v>
      </c>
      <c r="S13" s="24" t="s">
        <v>46</v>
      </c>
      <c r="T13" s="24" t="s">
        <v>46</v>
      </c>
      <c r="U13" s="24" t="s">
        <v>46</v>
      </c>
      <c r="V13" s="24" t="s">
        <v>46</v>
      </c>
      <c r="W13" s="26" t="s">
        <v>47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 t="s">
        <v>47</v>
      </c>
      <c r="AC13" s="26" t="s">
        <v>47</v>
      </c>
      <c r="AD13" s="30">
        <f t="shared" si="0"/>
        <v>13</v>
      </c>
      <c r="AE13" s="29">
        <f t="shared" si="1"/>
        <v>3</v>
      </c>
      <c r="AF13" s="29">
        <f t="shared" si="2"/>
        <v>4</v>
      </c>
      <c r="AG13" s="29">
        <f t="shared" si="3"/>
        <v>7</v>
      </c>
      <c r="AH13" s="29">
        <f t="shared" si="4"/>
        <v>14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otón2_Haga_clic_en">
                <anchor>
                  <from>
                    <xdr:col>34</xdr:col>
                    <xdr:colOff>38100</xdr:colOff>
                    <xdr:row>6</xdr:row>
                    <xdr:rowOff>47625</xdr:rowOff>
                  </from>
                  <to>
                    <xdr:col>35</xdr:col>
                    <xdr:colOff>428625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77DFC-5220-464A-8F9A-CAE4E8E105DF}">
  <sheetPr codeName="Hoja10">
    <tabColor rgb="FFC00000"/>
  </sheetPr>
  <dimension ref="A1:AH73"/>
  <sheetViews>
    <sheetView zoomScale="110" zoomScaleNormal="110" workbookViewId="0">
      <selection activeCell="P9" sqref="P9"/>
    </sheetView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69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36</v>
      </c>
      <c r="N13" s="24" t="s">
        <v>36</v>
      </c>
      <c r="O13" s="24" t="s">
        <v>36</v>
      </c>
      <c r="P13" s="24" t="s">
        <v>35</v>
      </c>
      <c r="Q13" s="24" t="s">
        <v>35</v>
      </c>
      <c r="R13" s="24" t="s">
        <v>35</v>
      </c>
      <c r="S13" s="24" t="s">
        <v>46</v>
      </c>
      <c r="T13" s="24" t="s">
        <v>46</v>
      </c>
      <c r="U13" s="24" t="s">
        <v>46</v>
      </c>
      <c r="V13" s="24" t="s">
        <v>46</v>
      </c>
      <c r="W13" s="26" t="s">
        <v>47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 t="s">
        <v>47</v>
      </c>
      <c r="AC13" s="26" t="s">
        <v>47</v>
      </c>
      <c r="AD13" s="30">
        <f t="shared" si="0"/>
        <v>13</v>
      </c>
      <c r="AE13" s="29">
        <f t="shared" si="1"/>
        <v>3</v>
      </c>
      <c r="AF13" s="29">
        <f t="shared" si="2"/>
        <v>4</v>
      </c>
      <c r="AG13" s="29">
        <f t="shared" si="3"/>
        <v>7</v>
      </c>
      <c r="AH13" s="29">
        <f t="shared" si="4"/>
        <v>14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otón2_Haga_clic_en">
                <anchor>
                  <from>
                    <xdr:col>34</xdr:col>
                    <xdr:colOff>38100</xdr:colOff>
                    <xdr:row>6</xdr:row>
                    <xdr:rowOff>47625</xdr:rowOff>
                  </from>
                  <to>
                    <xdr:col>35</xdr:col>
                    <xdr:colOff>428625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30BB-A80A-4822-807A-05335BE43713}">
  <sheetPr codeName="Hoja11">
    <tabColor rgb="FFC00000"/>
  </sheetPr>
  <dimension ref="A1:AH73"/>
  <sheetViews>
    <sheetView zoomScale="110" zoomScaleNormal="110" workbookViewId="0">
      <selection activeCell="N7" sqref="N7"/>
    </sheetView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138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36</v>
      </c>
      <c r="N13" s="24" t="s">
        <v>36</v>
      </c>
      <c r="O13" s="24" t="s">
        <v>36</v>
      </c>
      <c r="P13" s="24" t="s">
        <v>35</v>
      </c>
      <c r="Q13" s="24" t="s">
        <v>35</v>
      </c>
      <c r="R13" s="24" t="s">
        <v>35</v>
      </c>
      <c r="S13" s="24" t="s">
        <v>46</v>
      </c>
      <c r="T13" s="24" t="s">
        <v>46</v>
      </c>
      <c r="U13" s="24" t="s">
        <v>46</v>
      </c>
      <c r="V13" s="24" t="s">
        <v>46</v>
      </c>
      <c r="W13" s="26" t="s">
        <v>47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 t="s">
        <v>47</v>
      </c>
      <c r="AC13" s="26" t="s">
        <v>47</v>
      </c>
      <c r="AD13" s="30">
        <f t="shared" si="0"/>
        <v>13</v>
      </c>
      <c r="AE13" s="29">
        <f t="shared" si="1"/>
        <v>3</v>
      </c>
      <c r="AF13" s="29">
        <f t="shared" si="2"/>
        <v>4</v>
      </c>
      <c r="AG13" s="29">
        <f t="shared" si="3"/>
        <v>7</v>
      </c>
      <c r="AH13" s="29">
        <f t="shared" si="4"/>
        <v>14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2_Haga_clic_en">
                <anchor>
                  <from>
                    <xdr:col>34</xdr:col>
                    <xdr:colOff>38100</xdr:colOff>
                    <xdr:row>6</xdr:row>
                    <xdr:rowOff>47625</xdr:rowOff>
                  </from>
                  <to>
                    <xdr:col>35</xdr:col>
                    <xdr:colOff>428625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441D4-BB36-42C0-9CA3-0389E9540929}">
  <sheetPr codeName="Hoja12">
    <tabColor rgb="FFC00000"/>
  </sheetPr>
  <dimension ref="A1:AH73"/>
  <sheetViews>
    <sheetView zoomScale="110" zoomScaleNormal="110" workbookViewId="0"/>
  </sheetViews>
  <sheetFormatPr baseColWidth="10" defaultRowHeight="14.45" customHeight="1" x14ac:dyDescent="0.25"/>
  <cols>
    <col min="1" max="1" width="2.85546875" customWidth="1"/>
    <col min="2" max="2" width="30.28515625" customWidth="1"/>
    <col min="3" max="29" width="2.7109375" customWidth="1"/>
    <col min="30" max="34" width="4.7109375" customWidth="1"/>
  </cols>
  <sheetData>
    <row r="1" spans="1:34" ht="5.0999999999999996" customHeight="1" x14ac:dyDescent="0.25"/>
    <row r="2" spans="1:34" ht="12" customHeight="1" x14ac:dyDescent="0.25">
      <c r="B2" s="92" t="s">
        <v>139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3" spans="1:34" ht="12" customHeight="1" x14ac:dyDescent="0.25">
      <c r="B3" s="21" t="s">
        <v>37</v>
      </c>
      <c r="C3" s="18" t="str">
        <f>CARÁTULA!$F$12</f>
        <v>SAGRADA FAMILIA III</v>
      </c>
      <c r="R3" s="32" t="s">
        <v>34</v>
      </c>
      <c r="V3" s="93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5"/>
    </row>
    <row r="4" spans="1:34" ht="12" customHeight="1" x14ac:dyDescent="0.25">
      <c r="B4" s="19" t="s">
        <v>5</v>
      </c>
      <c r="C4" s="14" t="str">
        <f>CARÁTULA!$F$18</f>
        <v>AUXILIAR</v>
      </c>
      <c r="F4" s="13"/>
      <c r="G4" s="13"/>
      <c r="H4" s="13"/>
      <c r="R4" s="96" t="s">
        <v>9</v>
      </c>
      <c r="S4" s="96"/>
      <c r="T4" s="96"/>
      <c r="U4" s="96"/>
      <c r="V4" s="97">
        <f>CARÁTULA!$F$27</f>
        <v>2022</v>
      </c>
      <c r="W4" s="98"/>
      <c r="X4" s="98"/>
      <c r="Y4" s="98"/>
      <c r="Z4" s="99"/>
    </row>
    <row r="5" spans="1:34" ht="12" customHeight="1" x14ac:dyDescent="0.25">
      <c r="B5" s="19" t="s">
        <v>38</v>
      </c>
      <c r="C5" s="20" t="str">
        <f>CARÁTULA!$F$16</f>
        <v>MARÍA DE LOS JARICHIS</v>
      </c>
      <c r="D5" s="7"/>
      <c r="F5" s="13"/>
      <c r="G5" s="13"/>
      <c r="H5" s="13"/>
    </row>
    <row r="6" spans="1:34" ht="5.0999999999999996" customHeight="1" x14ac:dyDescent="0.25">
      <c r="A6" s="15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</row>
    <row r="7" spans="1:34" ht="68.099999999999994" customHeight="1" x14ac:dyDescent="0.25">
      <c r="A7" s="22"/>
      <c r="B7" s="57" t="s">
        <v>68</v>
      </c>
      <c r="C7" s="23">
        <v>44603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8" t="s">
        <v>42</v>
      </c>
      <c r="AE7" s="28" t="s">
        <v>43</v>
      </c>
      <c r="AF7" s="27" t="s">
        <v>44</v>
      </c>
      <c r="AG7" s="27" t="s">
        <v>45</v>
      </c>
      <c r="AH7" s="27" t="s">
        <v>41</v>
      </c>
    </row>
    <row r="8" spans="1:34" ht="13.5" customHeight="1" x14ac:dyDescent="0.25">
      <c r="A8" s="24">
        <v>1</v>
      </c>
      <c r="B8" s="25" t="str">
        <f>FILIACIÓN!B7</f>
        <v>JJJJJJJJJJJJJJJJJJJJ</v>
      </c>
      <c r="C8" s="24" t="s">
        <v>36</v>
      </c>
      <c r="D8" s="24" t="s">
        <v>36</v>
      </c>
      <c r="E8" s="24" t="s">
        <v>36</v>
      </c>
      <c r="F8" s="24" t="s">
        <v>36</v>
      </c>
      <c r="G8" s="24" t="s">
        <v>36</v>
      </c>
      <c r="H8" s="24" t="s">
        <v>36</v>
      </c>
      <c r="I8" s="24" t="s">
        <v>36</v>
      </c>
      <c r="J8" s="24" t="s">
        <v>36</v>
      </c>
      <c r="K8" s="24" t="s">
        <v>36</v>
      </c>
      <c r="L8" s="24" t="s">
        <v>36</v>
      </c>
      <c r="M8" s="24" t="s">
        <v>35</v>
      </c>
      <c r="N8" s="24" t="s">
        <v>35</v>
      </c>
      <c r="O8" s="24" t="s">
        <v>35</v>
      </c>
      <c r="P8" s="24" t="s">
        <v>35</v>
      </c>
      <c r="Q8" s="24" t="s">
        <v>35</v>
      </c>
      <c r="R8" s="24" t="s">
        <v>35</v>
      </c>
      <c r="S8" s="24" t="s">
        <v>35</v>
      </c>
      <c r="T8" s="24" t="s">
        <v>35</v>
      </c>
      <c r="U8" s="24" t="s">
        <v>46</v>
      </c>
      <c r="V8" s="24" t="s">
        <v>46</v>
      </c>
      <c r="W8" s="26" t="s">
        <v>46</v>
      </c>
      <c r="X8" s="26" t="s">
        <v>47</v>
      </c>
      <c r="Y8" s="26" t="s">
        <v>47</v>
      </c>
      <c r="Z8" s="26" t="s">
        <v>47</v>
      </c>
      <c r="AA8" s="26" t="s">
        <v>47</v>
      </c>
      <c r="AB8" s="26"/>
      <c r="AC8" s="26"/>
      <c r="AD8" s="30">
        <f>IF(COUNTIF(C8:AC8,"A")=0,"",COUNTIF(C8:AC8,"A"))</f>
        <v>10</v>
      </c>
      <c r="AE8" s="29">
        <f>IF(COUNTIF(C8:AC8,"F")=0,"",COUNTIF(C8:AC8,"F"))</f>
        <v>8</v>
      </c>
      <c r="AF8" s="29">
        <f>IF(COUNTIF(C8:AC8,"R")=0,"",COUNTIF(C8:AC8,"R"))</f>
        <v>3</v>
      </c>
      <c r="AG8" s="29">
        <f>IF(COUNTIF(C8:AC8,"L")=0,"",COUNTIF(C8:AC8,"L"))</f>
        <v>4</v>
      </c>
      <c r="AH8" s="29">
        <f>IF((IF(AD8="",0,AG8)+IF(AD8="",0,AG8))=0,"",(IF(AD8="",0,AG8)+IF(AD8="",0,AG8)))</f>
        <v>8</v>
      </c>
    </row>
    <row r="9" spans="1:34" ht="13.5" customHeight="1" x14ac:dyDescent="0.25">
      <c r="A9" s="24">
        <v>2</v>
      </c>
      <c r="B9" s="25" t="str">
        <f>FILIACIÓN!B8</f>
        <v>AAAAAAAAAAAAAAAAAA</v>
      </c>
      <c r="C9" s="24" t="s">
        <v>36</v>
      </c>
      <c r="D9" s="24" t="s">
        <v>36</v>
      </c>
      <c r="E9" s="24" t="s">
        <v>36</v>
      </c>
      <c r="F9" s="24" t="s">
        <v>36</v>
      </c>
      <c r="G9" s="24" t="s">
        <v>36</v>
      </c>
      <c r="H9" s="24" t="s">
        <v>36</v>
      </c>
      <c r="I9" s="24" t="s">
        <v>36</v>
      </c>
      <c r="J9" s="24" t="s">
        <v>36</v>
      </c>
      <c r="K9" s="24" t="s">
        <v>36</v>
      </c>
      <c r="L9" s="24" t="s">
        <v>36</v>
      </c>
      <c r="M9" s="24" t="s">
        <v>35</v>
      </c>
      <c r="N9" s="24" t="s">
        <v>35</v>
      </c>
      <c r="O9" s="24" t="s">
        <v>35</v>
      </c>
      <c r="P9" s="24" t="s">
        <v>35</v>
      </c>
      <c r="Q9" s="24" t="s">
        <v>35</v>
      </c>
      <c r="R9" s="24" t="s">
        <v>35</v>
      </c>
      <c r="S9" s="24" t="s">
        <v>35</v>
      </c>
      <c r="T9" s="24" t="s">
        <v>35</v>
      </c>
      <c r="U9" s="24" t="s">
        <v>46</v>
      </c>
      <c r="V9" s="24" t="s">
        <v>46</v>
      </c>
      <c r="W9" s="26" t="s">
        <v>46</v>
      </c>
      <c r="X9" s="26" t="s">
        <v>47</v>
      </c>
      <c r="Y9" s="26" t="s">
        <v>47</v>
      </c>
      <c r="Z9" s="26" t="s">
        <v>47</v>
      </c>
      <c r="AA9" s="26" t="s">
        <v>47</v>
      </c>
      <c r="AB9" s="26"/>
      <c r="AC9" s="26"/>
      <c r="AD9" s="30">
        <f t="shared" ref="AD9:AD42" si="0">IF(COUNTIF(C9:AC9,"A")=0,"",COUNTIF(C9:AC9,"A"))</f>
        <v>10</v>
      </c>
      <c r="AE9" s="29">
        <f t="shared" ref="AE9:AE42" si="1">IF(COUNTIF(C9:AC9,"F")=0,"",COUNTIF(C9:AC9,"F"))</f>
        <v>8</v>
      </c>
      <c r="AF9" s="29">
        <f t="shared" ref="AF9:AF42" si="2">IF(COUNTIF(C9:AC9,"R")=0,"",COUNTIF(C9:AC9,"R"))</f>
        <v>3</v>
      </c>
      <c r="AG9" s="29">
        <f t="shared" ref="AG9:AG42" si="3">IF(COUNTIF(C9:AC9,"L")=0,"",COUNTIF(C9:AC9,"L"))</f>
        <v>4</v>
      </c>
      <c r="AH9" s="29">
        <f t="shared" ref="AH9:AH42" si="4">IF((IF(AD9="",0,AG9)+IF(AD9="",0,AG9))=0,"",(IF(AD9="",0,AG9)+IF(AD9="",0,AG9)))</f>
        <v>8</v>
      </c>
    </row>
    <row r="10" spans="1:34" ht="13.5" customHeight="1" x14ac:dyDescent="0.25">
      <c r="A10" s="24">
        <v>3</v>
      </c>
      <c r="B10" s="25" t="str">
        <f>FILIACIÓN!B9</f>
        <v>OOOOOOOOOOOOOOOOOO</v>
      </c>
      <c r="C10" s="24" t="s">
        <v>36</v>
      </c>
      <c r="D10" s="24" t="s">
        <v>36</v>
      </c>
      <c r="E10" s="24" t="s">
        <v>36</v>
      </c>
      <c r="F10" s="24" t="s">
        <v>36</v>
      </c>
      <c r="G10" s="24" t="s">
        <v>36</v>
      </c>
      <c r="H10" s="24" t="s">
        <v>36</v>
      </c>
      <c r="I10" s="24" t="s">
        <v>36</v>
      </c>
      <c r="J10" s="24" t="s">
        <v>36</v>
      </c>
      <c r="K10" s="24" t="s">
        <v>36</v>
      </c>
      <c r="L10" s="24" t="s">
        <v>36</v>
      </c>
      <c r="M10" s="24" t="s">
        <v>35</v>
      </c>
      <c r="N10" s="24" t="s">
        <v>35</v>
      </c>
      <c r="O10" s="24" t="s">
        <v>35</v>
      </c>
      <c r="P10" s="24" t="s">
        <v>35</v>
      </c>
      <c r="Q10" s="24" t="s">
        <v>35</v>
      </c>
      <c r="R10" s="24" t="s">
        <v>35</v>
      </c>
      <c r="S10" s="24" t="s">
        <v>35</v>
      </c>
      <c r="T10" s="24" t="s">
        <v>35</v>
      </c>
      <c r="U10" s="24" t="s">
        <v>46</v>
      </c>
      <c r="V10" s="24" t="s">
        <v>46</v>
      </c>
      <c r="W10" s="26" t="s">
        <v>46</v>
      </c>
      <c r="X10" s="26" t="s">
        <v>47</v>
      </c>
      <c r="Y10" s="26" t="s">
        <v>47</v>
      </c>
      <c r="Z10" s="26" t="s">
        <v>47</v>
      </c>
      <c r="AA10" s="26" t="s">
        <v>47</v>
      </c>
      <c r="AB10" s="26"/>
      <c r="AC10" s="26"/>
      <c r="AD10" s="30">
        <f t="shared" si="0"/>
        <v>10</v>
      </c>
      <c r="AE10" s="29">
        <f t="shared" si="1"/>
        <v>8</v>
      </c>
      <c r="AF10" s="29">
        <f t="shared" si="2"/>
        <v>3</v>
      </c>
      <c r="AG10" s="29">
        <f t="shared" si="3"/>
        <v>4</v>
      </c>
      <c r="AH10" s="29">
        <f t="shared" si="4"/>
        <v>8</v>
      </c>
    </row>
    <row r="11" spans="1:34" ht="13.5" customHeight="1" x14ac:dyDescent="0.25">
      <c r="A11" s="24">
        <v>4</v>
      </c>
      <c r="B11" s="25">
        <f>FILIACIÓN!B10</f>
        <v>0</v>
      </c>
      <c r="C11" s="24" t="s">
        <v>36</v>
      </c>
      <c r="D11" s="24" t="s">
        <v>36</v>
      </c>
      <c r="E11" s="24" t="s">
        <v>36</v>
      </c>
      <c r="F11" s="24" t="s">
        <v>36</v>
      </c>
      <c r="G11" s="24" t="s">
        <v>36</v>
      </c>
      <c r="H11" s="24" t="s">
        <v>36</v>
      </c>
      <c r="I11" s="24" t="s">
        <v>36</v>
      </c>
      <c r="J11" s="24" t="s">
        <v>36</v>
      </c>
      <c r="K11" s="24" t="s">
        <v>36</v>
      </c>
      <c r="L11" s="24" t="s">
        <v>36</v>
      </c>
      <c r="M11" s="24" t="s">
        <v>35</v>
      </c>
      <c r="N11" s="24" t="s">
        <v>35</v>
      </c>
      <c r="O11" s="24" t="s">
        <v>35</v>
      </c>
      <c r="P11" s="24" t="s">
        <v>35</v>
      </c>
      <c r="Q11" s="24" t="s">
        <v>35</v>
      </c>
      <c r="R11" s="24" t="s">
        <v>35</v>
      </c>
      <c r="S11" s="24" t="s">
        <v>35</v>
      </c>
      <c r="T11" s="24" t="s">
        <v>35</v>
      </c>
      <c r="U11" s="24" t="s">
        <v>46</v>
      </c>
      <c r="V11" s="24" t="s">
        <v>46</v>
      </c>
      <c r="W11" s="26" t="s">
        <v>46</v>
      </c>
      <c r="X11" s="26" t="s">
        <v>47</v>
      </c>
      <c r="Y11" s="26" t="s">
        <v>47</v>
      </c>
      <c r="Z11" s="26" t="s">
        <v>47</v>
      </c>
      <c r="AA11" s="26" t="s">
        <v>47</v>
      </c>
      <c r="AB11" s="26"/>
      <c r="AC11" s="26"/>
      <c r="AD11" s="30">
        <f t="shared" si="0"/>
        <v>10</v>
      </c>
      <c r="AE11" s="29">
        <f t="shared" si="1"/>
        <v>8</v>
      </c>
      <c r="AF11" s="29">
        <f t="shared" si="2"/>
        <v>3</v>
      </c>
      <c r="AG11" s="29">
        <f t="shared" si="3"/>
        <v>4</v>
      </c>
      <c r="AH11" s="29">
        <f t="shared" si="4"/>
        <v>8</v>
      </c>
    </row>
    <row r="12" spans="1:34" ht="13.5" customHeight="1" x14ac:dyDescent="0.25">
      <c r="A12" s="24">
        <v>5</v>
      </c>
      <c r="B12" s="25">
        <f>FILIACIÓN!B11</f>
        <v>0</v>
      </c>
      <c r="C12" s="24" t="s">
        <v>36</v>
      </c>
      <c r="D12" s="24" t="s">
        <v>36</v>
      </c>
      <c r="E12" s="24" t="s">
        <v>36</v>
      </c>
      <c r="F12" s="24" t="s">
        <v>36</v>
      </c>
      <c r="G12" s="24" t="s">
        <v>36</v>
      </c>
      <c r="H12" s="24" t="s">
        <v>36</v>
      </c>
      <c r="I12" s="24" t="s">
        <v>36</v>
      </c>
      <c r="J12" s="24" t="s">
        <v>36</v>
      </c>
      <c r="K12" s="24" t="s">
        <v>36</v>
      </c>
      <c r="L12" s="24" t="s">
        <v>36</v>
      </c>
      <c r="M12" s="24" t="s">
        <v>35</v>
      </c>
      <c r="N12" s="24" t="s">
        <v>35</v>
      </c>
      <c r="O12" s="24" t="s">
        <v>35</v>
      </c>
      <c r="P12" s="24" t="s">
        <v>35</v>
      </c>
      <c r="Q12" s="24" t="s">
        <v>35</v>
      </c>
      <c r="R12" s="24" t="s">
        <v>35</v>
      </c>
      <c r="S12" s="24" t="s">
        <v>35</v>
      </c>
      <c r="T12" s="24" t="s">
        <v>35</v>
      </c>
      <c r="U12" s="24" t="s">
        <v>46</v>
      </c>
      <c r="V12" s="24" t="s">
        <v>46</v>
      </c>
      <c r="W12" s="26" t="s">
        <v>46</v>
      </c>
      <c r="X12" s="26" t="s">
        <v>47</v>
      </c>
      <c r="Y12" s="26" t="s">
        <v>47</v>
      </c>
      <c r="Z12" s="26" t="s">
        <v>47</v>
      </c>
      <c r="AA12" s="26" t="s">
        <v>47</v>
      </c>
      <c r="AB12" s="26"/>
      <c r="AC12" s="26"/>
      <c r="AD12" s="30">
        <f t="shared" si="0"/>
        <v>10</v>
      </c>
      <c r="AE12" s="29">
        <f t="shared" si="1"/>
        <v>8</v>
      </c>
      <c r="AF12" s="29">
        <f t="shared" si="2"/>
        <v>3</v>
      </c>
      <c r="AG12" s="29">
        <f t="shared" si="3"/>
        <v>4</v>
      </c>
      <c r="AH12" s="29">
        <f t="shared" si="4"/>
        <v>8</v>
      </c>
    </row>
    <row r="13" spans="1:34" ht="13.5" customHeight="1" x14ac:dyDescent="0.25">
      <c r="A13" s="24">
        <v>6</v>
      </c>
      <c r="B13" s="25">
        <f>FILIACIÓN!B12</f>
        <v>0</v>
      </c>
      <c r="C13" s="24" t="s">
        <v>36</v>
      </c>
      <c r="D13" s="24" t="s">
        <v>36</v>
      </c>
      <c r="E13" s="24" t="s">
        <v>36</v>
      </c>
      <c r="F13" s="24" t="s">
        <v>36</v>
      </c>
      <c r="G13" s="24" t="s">
        <v>36</v>
      </c>
      <c r="H13" s="24" t="s">
        <v>36</v>
      </c>
      <c r="I13" s="24" t="s">
        <v>36</v>
      </c>
      <c r="J13" s="24" t="s">
        <v>36</v>
      </c>
      <c r="K13" s="24" t="s">
        <v>36</v>
      </c>
      <c r="L13" s="24" t="s">
        <v>36</v>
      </c>
      <c r="M13" s="24" t="s">
        <v>36</v>
      </c>
      <c r="N13" s="24" t="s">
        <v>36</v>
      </c>
      <c r="O13" s="24" t="s">
        <v>36</v>
      </c>
      <c r="P13" s="24" t="s">
        <v>35</v>
      </c>
      <c r="Q13" s="24" t="s">
        <v>35</v>
      </c>
      <c r="R13" s="24" t="s">
        <v>35</v>
      </c>
      <c r="S13" s="24" t="s">
        <v>46</v>
      </c>
      <c r="T13" s="24" t="s">
        <v>46</v>
      </c>
      <c r="U13" s="24" t="s">
        <v>46</v>
      </c>
      <c r="V13" s="24" t="s">
        <v>46</v>
      </c>
      <c r="W13" s="26" t="s">
        <v>47</v>
      </c>
      <c r="X13" s="26" t="s">
        <v>47</v>
      </c>
      <c r="Y13" s="26" t="s">
        <v>47</v>
      </c>
      <c r="Z13" s="26" t="s">
        <v>47</v>
      </c>
      <c r="AA13" s="26" t="s">
        <v>47</v>
      </c>
      <c r="AB13" s="26" t="s">
        <v>47</v>
      </c>
      <c r="AC13" s="26" t="s">
        <v>47</v>
      </c>
      <c r="AD13" s="30">
        <f t="shared" si="0"/>
        <v>13</v>
      </c>
      <c r="AE13" s="29">
        <f t="shared" si="1"/>
        <v>3</v>
      </c>
      <c r="AF13" s="29">
        <f t="shared" si="2"/>
        <v>4</v>
      </c>
      <c r="AG13" s="29">
        <f t="shared" si="3"/>
        <v>7</v>
      </c>
      <c r="AH13" s="29">
        <f t="shared" si="4"/>
        <v>14</v>
      </c>
    </row>
    <row r="14" spans="1:34" ht="13.5" customHeight="1" x14ac:dyDescent="0.25">
      <c r="A14" s="24">
        <v>7</v>
      </c>
      <c r="B14" s="25">
        <f>FILIACIÓN!B13</f>
        <v>0</v>
      </c>
      <c r="C14" s="24" t="s">
        <v>36</v>
      </c>
      <c r="D14" s="24" t="s">
        <v>36</v>
      </c>
      <c r="E14" s="24" t="s">
        <v>36</v>
      </c>
      <c r="F14" s="24" t="s">
        <v>36</v>
      </c>
      <c r="G14" s="24" t="s">
        <v>36</v>
      </c>
      <c r="H14" s="24" t="s">
        <v>36</v>
      </c>
      <c r="I14" s="24" t="s">
        <v>36</v>
      </c>
      <c r="J14" s="24" t="s">
        <v>36</v>
      </c>
      <c r="K14" s="24" t="s">
        <v>36</v>
      </c>
      <c r="L14" s="24" t="s">
        <v>36</v>
      </c>
      <c r="M14" s="24" t="s">
        <v>35</v>
      </c>
      <c r="N14" s="24" t="s">
        <v>35</v>
      </c>
      <c r="O14" s="24" t="s">
        <v>35</v>
      </c>
      <c r="P14" s="24" t="s">
        <v>35</v>
      </c>
      <c r="Q14" s="24" t="s">
        <v>35</v>
      </c>
      <c r="R14" s="24" t="s">
        <v>35</v>
      </c>
      <c r="S14" s="24" t="s">
        <v>35</v>
      </c>
      <c r="T14" s="24" t="s">
        <v>35</v>
      </c>
      <c r="U14" s="24" t="s">
        <v>46</v>
      </c>
      <c r="V14" s="24" t="s">
        <v>46</v>
      </c>
      <c r="W14" s="26" t="s">
        <v>46</v>
      </c>
      <c r="X14" s="26" t="s">
        <v>47</v>
      </c>
      <c r="Y14" s="26" t="s">
        <v>47</v>
      </c>
      <c r="Z14" s="26" t="s">
        <v>47</v>
      </c>
      <c r="AA14" s="26" t="s">
        <v>47</v>
      </c>
      <c r="AB14" s="26"/>
      <c r="AC14" s="26"/>
      <c r="AD14" s="30">
        <f t="shared" si="0"/>
        <v>10</v>
      </c>
      <c r="AE14" s="29">
        <f t="shared" si="1"/>
        <v>8</v>
      </c>
      <c r="AF14" s="29">
        <f t="shared" si="2"/>
        <v>3</v>
      </c>
      <c r="AG14" s="29">
        <f t="shared" si="3"/>
        <v>4</v>
      </c>
      <c r="AH14" s="29">
        <f t="shared" si="4"/>
        <v>8</v>
      </c>
    </row>
    <row r="15" spans="1:34" ht="13.5" customHeight="1" x14ac:dyDescent="0.25">
      <c r="A15" s="24">
        <v>8</v>
      </c>
      <c r="B15" s="25">
        <f>FILIACIÓN!B14</f>
        <v>0</v>
      </c>
      <c r="C15" s="24" t="s">
        <v>36</v>
      </c>
      <c r="D15" s="24" t="s">
        <v>36</v>
      </c>
      <c r="E15" s="24" t="s">
        <v>36</v>
      </c>
      <c r="F15" s="24" t="s">
        <v>36</v>
      </c>
      <c r="G15" s="24" t="s">
        <v>36</v>
      </c>
      <c r="H15" s="24" t="s">
        <v>36</v>
      </c>
      <c r="I15" s="24" t="s">
        <v>36</v>
      </c>
      <c r="J15" s="24" t="s">
        <v>36</v>
      </c>
      <c r="K15" s="24" t="s">
        <v>36</v>
      </c>
      <c r="L15" s="24" t="s">
        <v>36</v>
      </c>
      <c r="M15" s="24" t="s">
        <v>35</v>
      </c>
      <c r="N15" s="24" t="s">
        <v>35</v>
      </c>
      <c r="O15" s="24" t="s">
        <v>35</v>
      </c>
      <c r="P15" s="24" t="s">
        <v>35</v>
      </c>
      <c r="Q15" s="24" t="s">
        <v>35</v>
      </c>
      <c r="R15" s="24" t="s">
        <v>35</v>
      </c>
      <c r="S15" s="24" t="s">
        <v>35</v>
      </c>
      <c r="T15" s="24" t="s">
        <v>35</v>
      </c>
      <c r="U15" s="24" t="s">
        <v>46</v>
      </c>
      <c r="V15" s="24" t="s">
        <v>46</v>
      </c>
      <c r="W15" s="26" t="s">
        <v>46</v>
      </c>
      <c r="X15" s="26" t="s">
        <v>47</v>
      </c>
      <c r="Y15" s="26" t="s">
        <v>47</v>
      </c>
      <c r="Z15" s="26" t="s">
        <v>47</v>
      </c>
      <c r="AA15" s="26" t="s">
        <v>47</v>
      </c>
      <c r="AB15" s="26"/>
      <c r="AC15" s="26"/>
      <c r="AD15" s="30">
        <f t="shared" si="0"/>
        <v>10</v>
      </c>
      <c r="AE15" s="29">
        <f t="shared" si="1"/>
        <v>8</v>
      </c>
      <c r="AF15" s="29">
        <f t="shared" si="2"/>
        <v>3</v>
      </c>
      <c r="AG15" s="29">
        <f t="shared" si="3"/>
        <v>4</v>
      </c>
      <c r="AH15" s="29">
        <f t="shared" si="4"/>
        <v>8</v>
      </c>
    </row>
    <row r="16" spans="1:34" ht="13.5" customHeight="1" x14ac:dyDescent="0.25">
      <c r="A16" s="24">
        <v>9</v>
      </c>
      <c r="B16" s="25">
        <f>FILIACIÓN!B15</f>
        <v>0</v>
      </c>
      <c r="C16" s="24" t="s">
        <v>36</v>
      </c>
      <c r="D16" s="24" t="s">
        <v>36</v>
      </c>
      <c r="E16" s="24" t="s">
        <v>36</v>
      </c>
      <c r="F16" s="24" t="s">
        <v>36</v>
      </c>
      <c r="G16" s="24" t="s">
        <v>36</v>
      </c>
      <c r="H16" s="24" t="s">
        <v>36</v>
      </c>
      <c r="I16" s="24" t="s">
        <v>36</v>
      </c>
      <c r="J16" s="24" t="s">
        <v>36</v>
      </c>
      <c r="K16" s="24" t="s">
        <v>36</v>
      </c>
      <c r="L16" s="24" t="s">
        <v>36</v>
      </c>
      <c r="M16" s="24" t="s">
        <v>35</v>
      </c>
      <c r="N16" s="24" t="s">
        <v>35</v>
      </c>
      <c r="O16" s="24" t="s">
        <v>35</v>
      </c>
      <c r="P16" s="24" t="s">
        <v>35</v>
      </c>
      <c r="Q16" s="24" t="s">
        <v>35</v>
      </c>
      <c r="R16" s="24" t="s">
        <v>35</v>
      </c>
      <c r="S16" s="24" t="s">
        <v>35</v>
      </c>
      <c r="T16" s="24" t="s">
        <v>35</v>
      </c>
      <c r="U16" s="24" t="s">
        <v>46</v>
      </c>
      <c r="V16" s="24" t="s">
        <v>46</v>
      </c>
      <c r="W16" s="26" t="s">
        <v>46</v>
      </c>
      <c r="X16" s="26" t="s">
        <v>47</v>
      </c>
      <c r="Y16" s="26" t="s">
        <v>47</v>
      </c>
      <c r="Z16" s="26" t="s">
        <v>47</v>
      </c>
      <c r="AA16" s="26" t="s">
        <v>47</v>
      </c>
      <c r="AB16" s="26"/>
      <c r="AC16" s="26"/>
      <c r="AD16" s="30">
        <f t="shared" si="0"/>
        <v>10</v>
      </c>
      <c r="AE16" s="29">
        <f t="shared" si="1"/>
        <v>8</v>
      </c>
      <c r="AF16" s="29">
        <f t="shared" si="2"/>
        <v>3</v>
      </c>
      <c r="AG16" s="29">
        <f t="shared" si="3"/>
        <v>4</v>
      </c>
      <c r="AH16" s="29">
        <f t="shared" si="4"/>
        <v>8</v>
      </c>
    </row>
    <row r="17" spans="1:34" ht="13.5" customHeight="1" x14ac:dyDescent="0.25">
      <c r="A17" s="24">
        <v>10</v>
      </c>
      <c r="B17" s="25">
        <f>FILIACIÓN!B16</f>
        <v>0</v>
      </c>
      <c r="C17" s="24" t="s">
        <v>36</v>
      </c>
      <c r="D17" s="24" t="s">
        <v>36</v>
      </c>
      <c r="E17" s="24" t="s">
        <v>36</v>
      </c>
      <c r="F17" s="24" t="s">
        <v>36</v>
      </c>
      <c r="G17" s="24" t="s">
        <v>36</v>
      </c>
      <c r="H17" s="24" t="s">
        <v>36</v>
      </c>
      <c r="I17" s="24" t="s">
        <v>36</v>
      </c>
      <c r="J17" s="24" t="s">
        <v>36</v>
      </c>
      <c r="K17" s="24" t="s">
        <v>36</v>
      </c>
      <c r="L17" s="24" t="s">
        <v>36</v>
      </c>
      <c r="M17" s="24" t="s">
        <v>35</v>
      </c>
      <c r="N17" s="24" t="s">
        <v>35</v>
      </c>
      <c r="O17" s="24" t="s">
        <v>35</v>
      </c>
      <c r="P17" s="24" t="s">
        <v>35</v>
      </c>
      <c r="Q17" s="24" t="s">
        <v>35</v>
      </c>
      <c r="R17" s="24" t="s">
        <v>35</v>
      </c>
      <c r="S17" s="24" t="s">
        <v>35</v>
      </c>
      <c r="T17" s="24" t="s">
        <v>35</v>
      </c>
      <c r="U17" s="24" t="s">
        <v>46</v>
      </c>
      <c r="V17" s="24" t="s">
        <v>46</v>
      </c>
      <c r="W17" s="26" t="s">
        <v>46</v>
      </c>
      <c r="X17" s="26" t="s">
        <v>47</v>
      </c>
      <c r="Y17" s="26" t="s">
        <v>47</v>
      </c>
      <c r="Z17" s="26" t="s">
        <v>47</v>
      </c>
      <c r="AA17" s="26" t="s">
        <v>47</v>
      </c>
      <c r="AB17" s="26"/>
      <c r="AC17" s="26"/>
      <c r="AD17" s="30">
        <f t="shared" si="0"/>
        <v>10</v>
      </c>
      <c r="AE17" s="29">
        <f t="shared" si="1"/>
        <v>8</v>
      </c>
      <c r="AF17" s="29">
        <f t="shared" si="2"/>
        <v>3</v>
      </c>
      <c r="AG17" s="29">
        <f t="shared" si="3"/>
        <v>4</v>
      </c>
      <c r="AH17" s="29">
        <f t="shared" si="4"/>
        <v>8</v>
      </c>
    </row>
    <row r="18" spans="1:34" ht="13.5" customHeight="1" x14ac:dyDescent="0.25">
      <c r="A18" s="24">
        <v>11</v>
      </c>
      <c r="B18" s="25">
        <f>FILIACIÓN!B17</f>
        <v>0</v>
      </c>
      <c r="C18" s="24" t="s">
        <v>36</v>
      </c>
      <c r="D18" s="24" t="s">
        <v>36</v>
      </c>
      <c r="E18" s="24" t="s">
        <v>36</v>
      </c>
      <c r="F18" s="24" t="s">
        <v>36</v>
      </c>
      <c r="G18" s="24" t="s">
        <v>36</v>
      </c>
      <c r="H18" s="24" t="s">
        <v>36</v>
      </c>
      <c r="I18" s="24" t="s">
        <v>36</v>
      </c>
      <c r="J18" s="24" t="s">
        <v>36</v>
      </c>
      <c r="K18" s="24" t="s">
        <v>36</v>
      </c>
      <c r="L18" s="24" t="s">
        <v>36</v>
      </c>
      <c r="M18" s="24" t="s">
        <v>35</v>
      </c>
      <c r="N18" s="24" t="s">
        <v>35</v>
      </c>
      <c r="O18" s="24" t="s">
        <v>35</v>
      </c>
      <c r="P18" s="24" t="s">
        <v>35</v>
      </c>
      <c r="Q18" s="24" t="s">
        <v>35</v>
      </c>
      <c r="R18" s="24" t="s">
        <v>35</v>
      </c>
      <c r="S18" s="24" t="s">
        <v>35</v>
      </c>
      <c r="T18" s="24" t="s">
        <v>35</v>
      </c>
      <c r="U18" s="24" t="s">
        <v>46</v>
      </c>
      <c r="V18" s="24" t="s">
        <v>46</v>
      </c>
      <c r="W18" s="26" t="s">
        <v>46</v>
      </c>
      <c r="X18" s="26" t="s">
        <v>47</v>
      </c>
      <c r="Y18" s="26" t="s">
        <v>47</v>
      </c>
      <c r="Z18" s="26" t="s">
        <v>47</v>
      </c>
      <c r="AA18" s="26" t="s">
        <v>47</v>
      </c>
      <c r="AB18" s="26"/>
      <c r="AC18" s="26"/>
      <c r="AD18" s="30">
        <f t="shared" si="0"/>
        <v>10</v>
      </c>
      <c r="AE18" s="29">
        <f t="shared" si="1"/>
        <v>8</v>
      </c>
      <c r="AF18" s="29">
        <f t="shared" si="2"/>
        <v>3</v>
      </c>
      <c r="AG18" s="29">
        <f t="shared" si="3"/>
        <v>4</v>
      </c>
      <c r="AH18" s="29">
        <f t="shared" si="4"/>
        <v>8</v>
      </c>
    </row>
    <row r="19" spans="1:34" ht="13.5" customHeight="1" x14ac:dyDescent="0.25">
      <c r="A19" s="24">
        <v>12</v>
      </c>
      <c r="B19" s="25">
        <f>FILIACIÓN!B18</f>
        <v>0</v>
      </c>
      <c r="C19" s="24" t="s">
        <v>36</v>
      </c>
      <c r="D19" s="24" t="s">
        <v>36</v>
      </c>
      <c r="E19" s="24" t="s">
        <v>36</v>
      </c>
      <c r="F19" s="24" t="s">
        <v>36</v>
      </c>
      <c r="G19" s="24" t="s">
        <v>36</v>
      </c>
      <c r="H19" s="24" t="s">
        <v>36</v>
      </c>
      <c r="I19" s="24" t="s">
        <v>36</v>
      </c>
      <c r="J19" s="24" t="s">
        <v>36</v>
      </c>
      <c r="K19" s="24" t="s">
        <v>36</v>
      </c>
      <c r="L19" s="24" t="s">
        <v>36</v>
      </c>
      <c r="M19" s="24" t="s">
        <v>35</v>
      </c>
      <c r="N19" s="24" t="s">
        <v>35</v>
      </c>
      <c r="O19" s="24" t="s">
        <v>35</v>
      </c>
      <c r="P19" s="24" t="s">
        <v>35</v>
      </c>
      <c r="Q19" s="24" t="s">
        <v>35</v>
      </c>
      <c r="R19" s="24" t="s">
        <v>35</v>
      </c>
      <c r="S19" s="24" t="s">
        <v>35</v>
      </c>
      <c r="T19" s="24" t="s">
        <v>35</v>
      </c>
      <c r="U19" s="24" t="s">
        <v>46</v>
      </c>
      <c r="V19" s="24" t="s">
        <v>46</v>
      </c>
      <c r="W19" s="26" t="s">
        <v>46</v>
      </c>
      <c r="X19" s="26" t="s">
        <v>47</v>
      </c>
      <c r="Y19" s="26" t="s">
        <v>47</v>
      </c>
      <c r="Z19" s="26" t="s">
        <v>47</v>
      </c>
      <c r="AA19" s="26" t="s">
        <v>47</v>
      </c>
      <c r="AB19" s="26"/>
      <c r="AC19" s="26"/>
      <c r="AD19" s="30">
        <f t="shared" si="0"/>
        <v>10</v>
      </c>
      <c r="AE19" s="29">
        <f t="shared" si="1"/>
        <v>8</v>
      </c>
      <c r="AF19" s="29">
        <f t="shared" si="2"/>
        <v>3</v>
      </c>
      <c r="AG19" s="29">
        <f t="shared" si="3"/>
        <v>4</v>
      </c>
      <c r="AH19" s="29">
        <f t="shared" si="4"/>
        <v>8</v>
      </c>
    </row>
    <row r="20" spans="1:34" ht="13.5" customHeight="1" x14ac:dyDescent="0.25">
      <c r="A20" s="24">
        <v>13</v>
      </c>
      <c r="B20" s="25">
        <f>FILIACIÓN!B19</f>
        <v>0</v>
      </c>
      <c r="C20" s="24" t="s">
        <v>36</v>
      </c>
      <c r="D20" s="24" t="s">
        <v>36</v>
      </c>
      <c r="E20" s="24" t="s">
        <v>36</v>
      </c>
      <c r="F20" s="24" t="s">
        <v>36</v>
      </c>
      <c r="G20" s="24" t="s">
        <v>36</v>
      </c>
      <c r="H20" s="24" t="s">
        <v>36</v>
      </c>
      <c r="I20" s="24" t="s">
        <v>36</v>
      </c>
      <c r="J20" s="24" t="s">
        <v>36</v>
      </c>
      <c r="K20" s="24" t="s">
        <v>36</v>
      </c>
      <c r="L20" s="24" t="s">
        <v>36</v>
      </c>
      <c r="M20" s="24" t="s">
        <v>35</v>
      </c>
      <c r="N20" s="24" t="s">
        <v>35</v>
      </c>
      <c r="O20" s="24" t="s">
        <v>35</v>
      </c>
      <c r="P20" s="24" t="s">
        <v>35</v>
      </c>
      <c r="Q20" s="24" t="s">
        <v>35</v>
      </c>
      <c r="R20" s="24" t="s">
        <v>35</v>
      </c>
      <c r="S20" s="24" t="s">
        <v>35</v>
      </c>
      <c r="T20" s="24" t="s">
        <v>35</v>
      </c>
      <c r="U20" s="24" t="s">
        <v>46</v>
      </c>
      <c r="V20" s="24" t="s">
        <v>46</v>
      </c>
      <c r="W20" s="26" t="s">
        <v>46</v>
      </c>
      <c r="X20" s="26" t="s">
        <v>47</v>
      </c>
      <c r="Y20" s="26" t="s">
        <v>47</v>
      </c>
      <c r="Z20" s="26" t="s">
        <v>47</v>
      </c>
      <c r="AA20" s="26" t="s">
        <v>47</v>
      </c>
      <c r="AB20" s="26"/>
      <c r="AC20" s="26"/>
      <c r="AD20" s="30">
        <f t="shared" si="0"/>
        <v>10</v>
      </c>
      <c r="AE20" s="29">
        <f t="shared" si="1"/>
        <v>8</v>
      </c>
      <c r="AF20" s="29">
        <f t="shared" si="2"/>
        <v>3</v>
      </c>
      <c r="AG20" s="29">
        <f t="shared" si="3"/>
        <v>4</v>
      </c>
      <c r="AH20" s="29">
        <f t="shared" si="4"/>
        <v>8</v>
      </c>
    </row>
    <row r="21" spans="1:34" ht="13.5" customHeight="1" x14ac:dyDescent="0.25">
      <c r="A21" s="24">
        <v>14</v>
      </c>
      <c r="B21" s="25">
        <f>FILIACIÓN!B20</f>
        <v>0</v>
      </c>
      <c r="C21" s="24" t="s">
        <v>36</v>
      </c>
      <c r="D21" s="24" t="s">
        <v>36</v>
      </c>
      <c r="E21" s="24" t="s">
        <v>36</v>
      </c>
      <c r="F21" s="24" t="s">
        <v>36</v>
      </c>
      <c r="G21" s="24" t="s">
        <v>36</v>
      </c>
      <c r="H21" s="24" t="s">
        <v>36</v>
      </c>
      <c r="I21" s="24" t="s">
        <v>36</v>
      </c>
      <c r="J21" s="24" t="s">
        <v>36</v>
      </c>
      <c r="K21" s="24" t="s">
        <v>36</v>
      </c>
      <c r="L21" s="24" t="s">
        <v>36</v>
      </c>
      <c r="M21" s="24" t="s">
        <v>35</v>
      </c>
      <c r="N21" s="24" t="s">
        <v>35</v>
      </c>
      <c r="O21" s="24" t="s">
        <v>35</v>
      </c>
      <c r="P21" s="24" t="s">
        <v>35</v>
      </c>
      <c r="Q21" s="24" t="s">
        <v>35</v>
      </c>
      <c r="R21" s="24" t="s">
        <v>35</v>
      </c>
      <c r="S21" s="24" t="s">
        <v>35</v>
      </c>
      <c r="T21" s="24" t="s">
        <v>35</v>
      </c>
      <c r="U21" s="24" t="s">
        <v>46</v>
      </c>
      <c r="V21" s="24" t="s">
        <v>46</v>
      </c>
      <c r="W21" s="26" t="s">
        <v>46</v>
      </c>
      <c r="X21" s="26" t="s">
        <v>47</v>
      </c>
      <c r="Y21" s="26" t="s">
        <v>47</v>
      </c>
      <c r="Z21" s="26" t="s">
        <v>47</v>
      </c>
      <c r="AA21" s="26" t="s">
        <v>47</v>
      </c>
      <c r="AB21" s="26"/>
      <c r="AC21" s="26"/>
      <c r="AD21" s="30">
        <f t="shared" si="0"/>
        <v>10</v>
      </c>
      <c r="AE21" s="29">
        <f t="shared" si="1"/>
        <v>8</v>
      </c>
      <c r="AF21" s="29">
        <f t="shared" si="2"/>
        <v>3</v>
      </c>
      <c r="AG21" s="29">
        <f t="shared" si="3"/>
        <v>4</v>
      </c>
      <c r="AH21" s="29">
        <f t="shared" si="4"/>
        <v>8</v>
      </c>
    </row>
    <row r="22" spans="1:34" ht="13.5" customHeight="1" x14ac:dyDescent="0.25">
      <c r="A22" s="24">
        <v>15</v>
      </c>
      <c r="B22" s="25">
        <f>FILIACIÓN!B21</f>
        <v>0</v>
      </c>
      <c r="C22" s="24" t="s">
        <v>36</v>
      </c>
      <c r="D22" s="24" t="s">
        <v>36</v>
      </c>
      <c r="E22" s="24" t="s">
        <v>36</v>
      </c>
      <c r="F22" s="24" t="s">
        <v>36</v>
      </c>
      <c r="G22" s="24" t="s">
        <v>36</v>
      </c>
      <c r="H22" s="24" t="s">
        <v>36</v>
      </c>
      <c r="I22" s="24" t="s">
        <v>36</v>
      </c>
      <c r="J22" s="24" t="s">
        <v>36</v>
      </c>
      <c r="K22" s="24" t="s">
        <v>36</v>
      </c>
      <c r="L22" s="24" t="s">
        <v>36</v>
      </c>
      <c r="M22" s="24" t="s">
        <v>35</v>
      </c>
      <c r="N22" s="24" t="s">
        <v>35</v>
      </c>
      <c r="O22" s="24" t="s">
        <v>35</v>
      </c>
      <c r="P22" s="24" t="s">
        <v>35</v>
      </c>
      <c r="Q22" s="24" t="s">
        <v>35</v>
      </c>
      <c r="R22" s="24" t="s">
        <v>35</v>
      </c>
      <c r="S22" s="24" t="s">
        <v>35</v>
      </c>
      <c r="T22" s="24" t="s">
        <v>35</v>
      </c>
      <c r="U22" s="24" t="s">
        <v>46</v>
      </c>
      <c r="V22" s="24" t="s">
        <v>46</v>
      </c>
      <c r="W22" s="26" t="s">
        <v>46</v>
      </c>
      <c r="X22" s="26" t="s">
        <v>47</v>
      </c>
      <c r="Y22" s="26" t="s">
        <v>47</v>
      </c>
      <c r="Z22" s="26" t="s">
        <v>47</v>
      </c>
      <c r="AA22" s="26" t="s">
        <v>47</v>
      </c>
      <c r="AB22" s="26"/>
      <c r="AC22" s="26"/>
      <c r="AD22" s="30">
        <f t="shared" si="0"/>
        <v>10</v>
      </c>
      <c r="AE22" s="29">
        <f t="shared" si="1"/>
        <v>8</v>
      </c>
      <c r="AF22" s="29">
        <f t="shared" si="2"/>
        <v>3</v>
      </c>
      <c r="AG22" s="29">
        <f t="shared" si="3"/>
        <v>4</v>
      </c>
      <c r="AH22" s="29">
        <f t="shared" si="4"/>
        <v>8</v>
      </c>
    </row>
    <row r="23" spans="1:34" ht="13.5" customHeight="1" x14ac:dyDescent="0.25">
      <c r="A23" s="24">
        <v>16</v>
      </c>
      <c r="B23" s="25">
        <f>FILIACIÓN!B22</f>
        <v>0</v>
      </c>
      <c r="C23" s="24" t="s">
        <v>36</v>
      </c>
      <c r="D23" s="24" t="s">
        <v>36</v>
      </c>
      <c r="E23" s="24" t="s">
        <v>36</v>
      </c>
      <c r="F23" s="24" t="s">
        <v>36</v>
      </c>
      <c r="G23" s="24" t="s">
        <v>36</v>
      </c>
      <c r="H23" s="24" t="s">
        <v>36</v>
      </c>
      <c r="I23" s="24" t="s">
        <v>36</v>
      </c>
      <c r="J23" s="24" t="s">
        <v>36</v>
      </c>
      <c r="K23" s="24" t="s">
        <v>36</v>
      </c>
      <c r="L23" s="24" t="s">
        <v>36</v>
      </c>
      <c r="M23" s="24" t="s">
        <v>35</v>
      </c>
      <c r="N23" s="24" t="s">
        <v>35</v>
      </c>
      <c r="O23" s="24" t="s">
        <v>35</v>
      </c>
      <c r="P23" s="24" t="s">
        <v>35</v>
      </c>
      <c r="Q23" s="24" t="s">
        <v>35</v>
      </c>
      <c r="R23" s="24" t="s">
        <v>35</v>
      </c>
      <c r="S23" s="24" t="s">
        <v>35</v>
      </c>
      <c r="T23" s="24" t="s">
        <v>35</v>
      </c>
      <c r="U23" s="24" t="s">
        <v>46</v>
      </c>
      <c r="V23" s="24" t="s">
        <v>46</v>
      </c>
      <c r="W23" s="26" t="s">
        <v>46</v>
      </c>
      <c r="X23" s="26" t="s">
        <v>47</v>
      </c>
      <c r="Y23" s="26" t="s">
        <v>47</v>
      </c>
      <c r="Z23" s="26" t="s">
        <v>47</v>
      </c>
      <c r="AA23" s="26" t="s">
        <v>47</v>
      </c>
      <c r="AB23" s="26"/>
      <c r="AC23" s="26"/>
      <c r="AD23" s="30">
        <f>IF(COUNTIF(C23:AC23,"A")=0,"",COUNTIF(C23:AC23,"A"))</f>
        <v>10</v>
      </c>
      <c r="AE23" s="29">
        <f t="shared" si="1"/>
        <v>8</v>
      </c>
      <c r="AF23" s="29">
        <f t="shared" si="2"/>
        <v>3</v>
      </c>
      <c r="AG23" s="29">
        <f t="shared" si="3"/>
        <v>4</v>
      </c>
      <c r="AH23" s="29">
        <f t="shared" si="4"/>
        <v>8</v>
      </c>
    </row>
    <row r="24" spans="1:34" ht="13.5" customHeight="1" x14ac:dyDescent="0.25">
      <c r="A24" s="24">
        <v>17</v>
      </c>
      <c r="B24" s="25">
        <f>FILIACIÓN!B23</f>
        <v>0</v>
      </c>
      <c r="C24" s="24" t="s">
        <v>36</v>
      </c>
      <c r="D24" s="24" t="s">
        <v>36</v>
      </c>
      <c r="E24" s="24" t="s">
        <v>36</v>
      </c>
      <c r="F24" s="24" t="s">
        <v>36</v>
      </c>
      <c r="G24" s="24" t="s">
        <v>36</v>
      </c>
      <c r="H24" s="24" t="s">
        <v>36</v>
      </c>
      <c r="I24" s="24" t="s">
        <v>36</v>
      </c>
      <c r="J24" s="24" t="s">
        <v>36</v>
      </c>
      <c r="K24" s="24" t="s">
        <v>36</v>
      </c>
      <c r="L24" s="24" t="s">
        <v>36</v>
      </c>
      <c r="M24" s="24" t="s">
        <v>35</v>
      </c>
      <c r="N24" s="24" t="s">
        <v>35</v>
      </c>
      <c r="O24" s="24" t="s">
        <v>35</v>
      </c>
      <c r="P24" s="24" t="s">
        <v>35</v>
      </c>
      <c r="Q24" s="24" t="s">
        <v>35</v>
      </c>
      <c r="R24" s="24" t="s">
        <v>35</v>
      </c>
      <c r="S24" s="24" t="s">
        <v>35</v>
      </c>
      <c r="T24" s="24" t="s">
        <v>35</v>
      </c>
      <c r="U24" s="24" t="s">
        <v>46</v>
      </c>
      <c r="V24" s="24" t="s">
        <v>46</v>
      </c>
      <c r="W24" s="26" t="s">
        <v>46</v>
      </c>
      <c r="X24" s="26" t="s">
        <v>47</v>
      </c>
      <c r="Y24" s="26" t="s">
        <v>47</v>
      </c>
      <c r="Z24" s="26" t="s">
        <v>47</v>
      </c>
      <c r="AA24" s="26" t="s">
        <v>47</v>
      </c>
      <c r="AB24" s="26"/>
      <c r="AC24" s="26"/>
      <c r="AD24" s="30">
        <f t="shared" si="0"/>
        <v>10</v>
      </c>
      <c r="AE24" s="29">
        <f t="shared" si="1"/>
        <v>8</v>
      </c>
      <c r="AF24" s="29">
        <f t="shared" si="2"/>
        <v>3</v>
      </c>
      <c r="AG24" s="29">
        <f t="shared" si="3"/>
        <v>4</v>
      </c>
      <c r="AH24" s="29">
        <f t="shared" si="4"/>
        <v>8</v>
      </c>
    </row>
    <row r="25" spans="1:34" ht="13.5" customHeight="1" x14ac:dyDescent="0.25">
      <c r="A25" s="24">
        <v>18</v>
      </c>
      <c r="B25" s="25">
        <f>FILIACIÓN!B24</f>
        <v>0</v>
      </c>
      <c r="C25" s="24" t="s">
        <v>36</v>
      </c>
      <c r="D25" s="24" t="s">
        <v>36</v>
      </c>
      <c r="E25" s="24" t="s">
        <v>36</v>
      </c>
      <c r="F25" s="24" t="s">
        <v>36</v>
      </c>
      <c r="G25" s="24" t="s">
        <v>36</v>
      </c>
      <c r="H25" s="24" t="s">
        <v>36</v>
      </c>
      <c r="I25" s="24" t="s">
        <v>36</v>
      </c>
      <c r="J25" s="24" t="s">
        <v>36</v>
      </c>
      <c r="K25" s="24" t="s">
        <v>36</v>
      </c>
      <c r="L25" s="24" t="s">
        <v>36</v>
      </c>
      <c r="M25" s="24" t="s">
        <v>35</v>
      </c>
      <c r="N25" s="24" t="s">
        <v>35</v>
      </c>
      <c r="O25" s="24" t="s">
        <v>35</v>
      </c>
      <c r="P25" s="24" t="s">
        <v>35</v>
      </c>
      <c r="Q25" s="24" t="s">
        <v>35</v>
      </c>
      <c r="R25" s="24" t="s">
        <v>35</v>
      </c>
      <c r="S25" s="24" t="s">
        <v>35</v>
      </c>
      <c r="T25" s="24" t="s">
        <v>35</v>
      </c>
      <c r="U25" s="24" t="s">
        <v>46</v>
      </c>
      <c r="V25" s="24" t="s">
        <v>46</v>
      </c>
      <c r="W25" s="26" t="s">
        <v>46</v>
      </c>
      <c r="X25" s="26" t="s">
        <v>47</v>
      </c>
      <c r="Y25" s="26" t="s">
        <v>47</v>
      </c>
      <c r="Z25" s="26" t="s">
        <v>47</v>
      </c>
      <c r="AA25" s="26" t="s">
        <v>47</v>
      </c>
      <c r="AB25" s="26"/>
      <c r="AC25" s="26"/>
      <c r="AD25" s="30">
        <f t="shared" si="0"/>
        <v>10</v>
      </c>
      <c r="AE25" s="29">
        <f t="shared" si="1"/>
        <v>8</v>
      </c>
      <c r="AF25" s="29">
        <f t="shared" si="2"/>
        <v>3</v>
      </c>
      <c r="AG25" s="29">
        <f t="shared" si="3"/>
        <v>4</v>
      </c>
      <c r="AH25" s="29">
        <f t="shared" si="4"/>
        <v>8</v>
      </c>
    </row>
    <row r="26" spans="1:34" ht="13.5" customHeight="1" x14ac:dyDescent="0.25">
      <c r="A26" s="24">
        <v>19</v>
      </c>
      <c r="B26" s="25">
        <f>FILIACIÓN!B25</f>
        <v>0</v>
      </c>
      <c r="C26" s="24" t="s">
        <v>36</v>
      </c>
      <c r="D26" s="24" t="s">
        <v>36</v>
      </c>
      <c r="E26" s="24" t="s">
        <v>36</v>
      </c>
      <c r="F26" s="24" t="s">
        <v>36</v>
      </c>
      <c r="G26" s="24" t="s">
        <v>36</v>
      </c>
      <c r="H26" s="24" t="s">
        <v>36</v>
      </c>
      <c r="I26" s="24" t="s">
        <v>36</v>
      </c>
      <c r="J26" s="24" t="s">
        <v>36</v>
      </c>
      <c r="K26" s="24" t="s">
        <v>36</v>
      </c>
      <c r="L26" s="24" t="s">
        <v>36</v>
      </c>
      <c r="M26" s="24" t="s">
        <v>35</v>
      </c>
      <c r="N26" s="24" t="s">
        <v>35</v>
      </c>
      <c r="O26" s="24" t="s">
        <v>35</v>
      </c>
      <c r="P26" s="24" t="s">
        <v>35</v>
      </c>
      <c r="Q26" s="24" t="s">
        <v>35</v>
      </c>
      <c r="R26" s="24" t="s">
        <v>35</v>
      </c>
      <c r="S26" s="24" t="s">
        <v>35</v>
      </c>
      <c r="T26" s="24" t="s">
        <v>35</v>
      </c>
      <c r="U26" s="24" t="s">
        <v>46</v>
      </c>
      <c r="V26" s="24" t="s">
        <v>46</v>
      </c>
      <c r="W26" s="26" t="s">
        <v>46</v>
      </c>
      <c r="X26" s="26" t="s">
        <v>47</v>
      </c>
      <c r="Y26" s="26" t="s">
        <v>47</v>
      </c>
      <c r="Z26" s="26" t="s">
        <v>47</v>
      </c>
      <c r="AA26" s="26" t="s">
        <v>47</v>
      </c>
      <c r="AB26" s="26"/>
      <c r="AC26" s="26"/>
      <c r="AD26" s="30">
        <f t="shared" si="0"/>
        <v>10</v>
      </c>
      <c r="AE26" s="29">
        <f t="shared" si="1"/>
        <v>8</v>
      </c>
      <c r="AF26" s="29">
        <f t="shared" si="2"/>
        <v>3</v>
      </c>
      <c r="AG26" s="29">
        <f t="shared" si="3"/>
        <v>4</v>
      </c>
      <c r="AH26" s="29">
        <f t="shared" si="4"/>
        <v>8</v>
      </c>
    </row>
    <row r="27" spans="1:34" ht="13.5" customHeight="1" x14ac:dyDescent="0.25">
      <c r="A27" s="24">
        <v>20</v>
      </c>
      <c r="B27" s="25">
        <f>FILIACIÓN!B26</f>
        <v>0</v>
      </c>
      <c r="C27" s="24" t="s">
        <v>36</v>
      </c>
      <c r="D27" s="24" t="s">
        <v>36</v>
      </c>
      <c r="E27" s="24" t="s">
        <v>36</v>
      </c>
      <c r="F27" s="24" t="s">
        <v>36</v>
      </c>
      <c r="G27" s="24" t="s">
        <v>36</v>
      </c>
      <c r="H27" s="24" t="s">
        <v>36</v>
      </c>
      <c r="I27" s="24" t="s">
        <v>36</v>
      </c>
      <c r="J27" s="24" t="s">
        <v>36</v>
      </c>
      <c r="K27" s="24" t="s">
        <v>36</v>
      </c>
      <c r="L27" s="24" t="s">
        <v>36</v>
      </c>
      <c r="M27" s="24" t="s">
        <v>35</v>
      </c>
      <c r="N27" s="24" t="s">
        <v>35</v>
      </c>
      <c r="O27" s="24" t="s">
        <v>35</v>
      </c>
      <c r="P27" s="24" t="s">
        <v>35</v>
      </c>
      <c r="Q27" s="24" t="s">
        <v>35</v>
      </c>
      <c r="R27" s="24" t="s">
        <v>35</v>
      </c>
      <c r="S27" s="24" t="s">
        <v>35</v>
      </c>
      <c r="T27" s="24" t="s">
        <v>35</v>
      </c>
      <c r="U27" s="24" t="s">
        <v>46</v>
      </c>
      <c r="V27" s="24" t="s">
        <v>46</v>
      </c>
      <c r="W27" s="26" t="s">
        <v>46</v>
      </c>
      <c r="X27" s="26" t="s">
        <v>47</v>
      </c>
      <c r="Y27" s="26" t="s">
        <v>47</v>
      </c>
      <c r="Z27" s="26" t="s">
        <v>47</v>
      </c>
      <c r="AA27" s="26" t="s">
        <v>47</v>
      </c>
      <c r="AB27" s="26"/>
      <c r="AC27" s="26"/>
      <c r="AD27" s="30">
        <f t="shared" si="0"/>
        <v>10</v>
      </c>
      <c r="AE27" s="29">
        <f t="shared" si="1"/>
        <v>8</v>
      </c>
      <c r="AF27" s="29">
        <f t="shared" si="2"/>
        <v>3</v>
      </c>
      <c r="AG27" s="29">
        <f t="shared" si="3"/>
        <v>4</v>
      </c>
      <c r="AH27" s="29">
        <f t="shared" si="4"/>
        <v>8</v>
      </c>
    </row>
    <row r="28" spans="1:34" ht="13.5" customHeight="1" x14ac:dyDescent="0.25">
      <c r="A28" s="24">
        <v>21</v>
      </c>
      <c r="B28" s="25">
        <f>FILIACIÓN!B27</f>
        <v>0</v>
      </c>
      <c r="C28" s="24" t="s">
        <v>36</v>
      </c>
      <c r="D28" s="24" t="s">
        <v>36</v>
      </c>
      <c r="E28" s="24" t="s">
        <v>36</v>
      </c>
      <c r="F28" s="24" t="s">
        <v>36</v>
      </c>
      <c r="G28" s="24" t="s">
        <v>36</v>
      </c>
      <c r="H28" s="24" t="s">
        <v>36</v>
      </c>
      <c r="I28" s="24" t="s">
        <v>36</v>
      </c>
      <c r="J28" s="24" t="s">
        <v>36</v>
      </c>
      <c r="K28" s="24" t="s">
        <v>36</v>
      </c>
      <c r="L28" s="24" t="s">
        <v>36</v>
      </c>
      <c r="M28" s="24" t="s">
        <v>35</v>
      </c>
      <c r="N28" s="24" t="s">
        <v>35</v>
      </c>
      <c r="O28" s="24" t="s">
        <v>35</v>
      </c>
      <c r="P28" s="24" t="s">
        <v>35</v>
      </c>
      <c r="Q28" s="24" t="s">
        <v>35</v>
      </c>
      <c r="R28" s="24" t="s">
        <v>35</v>
      </c>
      <c r="S28" s="24" t="s">
        <v>35</v>
      </c>
      <c r="T28" s="24" t="s">
        <v>35</v>
      </c>
      <c r="U28" s="24" t="s">
        <v>46</v>
      </c>
      <c r="V28" s="24" t="s">
        <v>46</v>
      </c>
      <c r="W28" s="26" t="s">
        <v>46</v>
      </c>
      <c r="X28" s="26" t="s">
        <v>47</v>
      </c>
      <c r="Y28" s="26" t="s">
        <v>47</v>
      </c>
      <c r="Z28" s="26" t="s">
        <v>47</v>
      </c>
      <c r="AA28" s="26" t="s">
        <v>47</v>
      </c>
      <c r="AB28" s="26"/>
      <c r="AC28" s="26"/>
      <c r="AD28" s="30">
        <f t="shared" si="0"/>
        <v>10</v>
      </c>
      <c r="AE28" s="29">
        <f t="shared" si="1"/>
        <v>8</v>
      </c>
      <c r="AF28" s="29">
        <f t="shared" si="2"/>
        <v>3</v>
      </c>
      <c r="AG28" s="29">
        <f t="shared" si="3"/>
        <v>4</v>
      </c>
      <c r="AH28" s="29">
        <f t="shared" si="4"/>
        <v>8</v>
      </c>
    </row>
    <row r="29" spans="1:34" ht="13.5" customHeight="1" x14ac:dyDescent="0.25">
      <c r="A29" s="24">
        <v>22</v>
      </c>
      <c r="B29" s="25">
        <f>FILIACIÓN!B28</f>
        <v>0</v>
      </c>
      <c r="C29" s="24" t="s">
        <v>36</v>
      </c>
      <c r="D29" s="24" t="s">
        <v>36</v>
      </c>
      <c r="E29" s="24" t="s">
        <v>36</v>
      </c>
      <c r="F29" s="24" t="s">
        <v>36</v>
      </c>
      <c r="G29" s="24" t="s">
        <v>36</v>
      </c>
      <c r="H29" s="24" t="s">
        <v>36</v>
      </c>
      <c r="I29" s="24" t="s">
        <v>36</v>
      </c>
      <c r="J29" s="24" t="s">
        <v>36</v>
      </c>
      <c r="K29" s="24" t="s">
        <v>36</v>
      </c>
      <c r="L29" s="24" t="s">
        <v>36</v>
      </c>
      <c r="M29" s="24" t="s">
        <v>35</v>
      </c>
      <c r="N29" s="24" t="s">
        <v>35</v>
      </c>
      <c r="O29" s="24" t="s">
        <v>35</v>
      </c>
      <c r="P29" s="24" t="s">
        <v>35</v>
      </c>
      <c r="Q29" s="24" t="s">
        <v>35</v>
      </c>
      <c r="R29" s="24" t="s">
        <v>35</v>
      </c>
      <c r="S29" s="24" t="s">
        <v>35</v>
      </c>
      <c r="T29" s="24" t="s">
        <v>35</v>
      </c>
      <c r="U29" s="24" t="s">
        <v>46</v>
      </c>
      <c r="V29" s="24" t="s">
        <v>46</v>
      </c>
      <c r="W29" s="26" t="s">
        <v>46</v>
      </c>
      <c r="X29" s="26" t="s">
        <v>47</v>
      </c>
      <c r="Y29" s="26" t="s">
        <v>47</v>
      </c>
      <c r="Z29" s="26" t="s">
        <v>47</v>
      </c>
      <c r="AA29" s="26" t="s">
        <v>47</v>
      </c>
      <c r="AB29" s="26"/>
      <c r="AC29" s="26"/>
      <c r="AD29" s="30">
        <f t="shared" si="0"/>
        <v>10</v>
      </c>
      <c r="AE29" s="29">
        <f t="shared" si="1"/>
        <v>8</v>
      </c>
      <c r="AF29" s="29">
        <f t="shared" si="2"/>
        <v>3</v>
      </c>
      <c r="AG29" s="29">
        <f t="shared" si="3"/>
        <v>4</v>
      </c>
      <c r="AH29" s="29">
        <f t="shared" si="4"/>
        <v>8</v>
      </c>
    </row>
    <row r="30" spans="1:34" ht="13.5" customHeight="1" x14ac:dyDescent="0.25">
      <c r="A30" s="24">
        <v>23</v>
      </c>
      <c r="B30" s="25">
        <f>FILIACIÓN!B29</f>
        <v>0</v>
      </c>
      <c r="C30" s="24" t="s">
        <v>36</v>
      </c>
      <c r="D30" s="24" t="s">
        <v>36</v>
      </c>
      <c r="E30" s="24" t="s">
        <v>36</v>
      </c>
      <c r="F30" s="24" t="s">
        <v>36</v>
      </c>
      <c r="G30" s="24" t="s">
        <v>36</v>
      </c>
      <c r="H30" s="24" t="s">
        <v>36</v>
      </c>
      <c r="I30" s="24" t="s">
        <v>36</v>
      </c>
      <c r="J30" s="24" t="s">
        <v>36</v>
      </c>
      <c r="K30" s="24" t="s">
        <v>36</v>
      </c>
      <c r="L30" s="24" t="s">
        <v>36</v>
      </c>
      <c r="M30" s="24" t="s">
        <v>35</v>
      </c>
      <c r="N30" s="24" t="s">
        <v>35</v>
      </c>
      <c r="O30" s="24" t="s">
        <v>35</v>
      </c>
      <c r="P30" s="24" t="s">
        <v>35</v>
      </c>
      <c r="Q30" s="24" t="s">
        <v>35</v>
      </c>
      <c r="R30" s="24" t="s">
        <v>35</v>
      </c>
      <c r="S30" s="24" t="s">
        <v>35</v>
      </c>
      <c r="T30" s="24" t="s">
        <v>35</v>
      </c>
      <c r="U30" s="24" t="s">
        <v>46</v>
      </c>
      <c r="V30" s="24" t="s">
        <v>46</v>
      </c>
      <c r="W30" s="26" t="s">
        <v>46</v>
      </c>
      <c r="X30" s="26" t="s">
        <v>47</v>
      </c>
      <c r="Y30" s="26" t="s">
        <v>47</v>
      </c>
      <c r="Z30" s="26" t="s">
        <v>47</v>
      </c>
      <c r="AA30" s="26" t="s">
        <v>47</v>
      </c>
      <c r="AB30" s="26"/>
      <c r="AC30" s="26"/>
      <c r="AD30" s="30">
        <f t="shared" si="0"/>
        <v>10</v>
      </c>
      <c r="AE30" s="29">
        <f t="shared" si="1"/>
        <v>8</v>
      </c>
      <c r="AF30" s="29">
        <f t="shared" si="2"/>
        <v>3</v>
      </c>
      <c r="AG30" s="29">
        <f t="shared" si="3"/>
        <v>4</v>
      </c>
      <c r="AH30" s="29">
        <f t="shared" si="4"/>
        <v>8</v>
      </c>
    </row>
    <row r="31" spans="1:34" ht="13.5" customHeight="1" x14ac:dyDescent="0.25">
      <c r="A31" s="24">
        <v>24</v>
      </c>
      <c r="B31" s="25">
        <f>FILIACIÓN!B30</f>
        <v>0</v>
      </c>
      <c r="C31" s="24" t="s">
        <v>36</v>
      </c>
      <c r="D31" s="24" t="s">
        <v>36</v>
      </c>
      <c r="E31" s="24" t="s">
        <v>36</v>
      </c>
      <c r="F31" s="24" t="s">
        <v>36</v>
      </c>
      <c r="G31" s="24" t="s">
        <v>36</v>
      </c>
      <c r="H31" s="24" t="s">
        <v>36</v>
      </c>
      <c r="I31" s="24" t="s">
        <v>36</v>
      </c>
      <c r="J31" s="24" t="s">
        <v>36</v>
      </c>
      <c r="K31" s="24" t="s">
        <v>36</v>
      </c>
      <c r="L31" s="24" t="s">
        <v>36</v>
      </c>
      <c r="M31" s="24" t="s">
        <v>35</v>
      </c>
      <c r="N31" s="24" t="s">
        <v>35</v>
      </c>
      <c r="O31" s="24" t="s">
        <v>35</v>
      </c>
      <c r="P31" s="24" t="s">
        <v>35</v>
      </c>
      <c r="Q31" s="24" t="s">
        <v>35</v>
      </c>
      <c r="R31" s="24" t="s">
        <v>35</v>
      </c>
      <c r="S31" s="24" t="s">
        <v>35</v>
      </c>
      <c r="T31" s="24" t="s">
        <v>35</v>
      </c>
      <c r="U31" s="24" t="s">
        <v>46</v>
      </c>
      <c r="V31" s="24" t="s">
        <v>46</v>
      </c>
      <c r="W31" s="26" t="s">
        <v>46</v>
      </c>
      <c r="X31" s="26" t="s">
        <v>47</v>
      </c>
      <c r="Y31" s="26" t="s">
        <v>47</v>
      </c>
      <c r="Z31" s="26" t="s">
        <v>47</v>
      </c>
      <c r="AA31" s="26" t="s">
        <v>47</v>
      </c>
      <c r="AB31" s="26"/>
      <c r="AC31" s="26"/>
      <c r="AD31" s="30">
        <f t="shared" si="0"/>
        <v>10</v>
      </c>
      <c r="AE31" s="29">
        <f t="shared" si="1"/>
        <v>8</v>
      </c>
      <c r="AF31" s="29">
        <f t="shared" si="2"/>
        <v>3</v>
      </c>
      <c r="AG31" s="29">
        <f t="shared" si="3"/>
        <v>4</v>
      </c>
      <c r="AH31" s="29">
        <f t="shared" si="4"/>
        <v>8</v>
      </c>
    </row>
    <row r="32" spans="1:34" ht="13.5" customHeight="1" x14ac:dyDescent="0.25">
      <c r="A32" s="24">
        <v>25</v>
      </c>
      <c r="B32" s="25">
        <f>FILIACIÓN!B31</f>
        <v>0</v>
      </c>
      <c r="C32" s="24" t="s">
        <v>36</v>
      </c>
      <c r="D32" s="24" t="s">
        <v>36</v>
      </c>
      <c r="E32" s="24" t="s">
        <v>36</v>
      </c>
      <c r="F32" s="24" t="s">
        <v>36</v>
      </c>
      <c r="G32" s="24" t="s">
        <v>36</v>
      </c>
      <c r="H32" s="24" t="s">
        <v>36</v>
      </c>
      <c r="I32" s="24" t="s">
        <v>36</v>
      </c>
      <c r="J32" s="24" t="s">
        <v>36</v>
      </c>
      <c r="K32" s="24" t="s">
        <v>36</v>
      </c>
      <c r="L32" s="24" t="s">
        <v>36</v>
      </c>
      <c r="M32" s="24" t="s">
        <v>35</v>
      </c>
      <c r="N32" s="24" t="s">
        <v>35</v>
      </c>
      <c r="O32" s="24" t="s">
        <v>35</v>
      </c>
      <c r="P32" s="24" t="s">
        <v>35</v>
      </c>
      <c r="Q32" s="24" t="s">
        <v>35</v>
      </c>
      <c r="R32" s="24" t="s">
        <v>35</v>
      </c>
      <c r="S32" s="24" t="s">
        <v>35</v>
      </c>
      <c r="T32" s="24" t="s">
        <v>35</v>
      </c>
      <c r="U32" s="24" t="s">
        <v>46</v>
      </c>
      <c r="V32" s="24" t="s">
        <v>46</v>
      </c>
      <c r="W32" s="26" t="s">
        <v>46</v>
      </c>
      <c r="X32" s="26" t="s">
        <v>47</v>
      </c>
      <c r="Y32" s="26" t="s">
        <v>47</v>
      </c>
      <c r="Z32" s="26" t="s">
        <v>47</v>
      </c>
      <c r="AA32" s="26" t="s">
        <v>47</v>
      </c>
      <c r="AB32" s="26"/>
      <c r="AC32" s="26"/>
      <c r="AD32" s="30">
        <f t="shared" si="0"/>
        <v>10</v>
      </c>
      <c r="AE32" s="29">
        <f t="shared" si="1"/>
        <v>8</v>
      </c>
      <c r="AF32" s="29">
        <f t="shared" si="2"/>
        <v>3</v>
      </c>
      <c r="AG32" s="29">
        <f t="shared" si="3"/>
        <v>4</v>
      </c>
      <c r="AH32" s="29">
        <f t="shared" si="4"/>
        <v>8</v>
      </c>
    </row>
    <row r="33" spans="1:34" ht="13.5" customHeight="1" x14ac:dyDescent="0.25">
      <c r="A33" s="24">
        <v>26</v>
      </c>
      <c r="B33" s="25">
        <f>FILIACIÓN!B32</f>
        <v>0</v>
      </c>
      <c r="C33" s="24" t="s">
        <v>36</v>
      </c>
      <c r="D33" s="24" t="s">
        <v>36</v>
      </c>
      <c r="E33" s="24" t="s">
        <v>36</v>
      </c>
      <c r="F33" s="24" t="s">
        <v>36</v>
      </c>
      <c r="G33" s="24" t="s">
        <v>36</v>
      </c>
      <c r="H33" s="24" t="s">
        <v>36</v>
      </c>
      <c r="I33" s="24" t="s">
        <v>36</v>
      </c>
      <c r="J33" s="24" t="s">
        <v>36</v>
      </c>
      <c r="K33" s="24" t="s">
        <v>36</v>
      </c>
      <c r="L33" s="24" t="s">
        <v>36</v>
      </c>
      <c r="M33" s="24" t="s">
        <v>35</v>
      </c>
      <c r="N33" s="24" t="s">
        <v>35</v>
      </c>
      <c r="O33" s="24" t="s">
        <v>35</v>
      </c>
      <c r="P33" s="24" t="s">
        <v>35</v>
      </c>
      <c r="Q33" s="24" t="s">
        <v>35</v>
      </c>
      <c r="R33" s="24" t="s">
        <v>35</v>
      </c>
      <c r="S33" s="24" t="s">
        <v>35</v>
      </c>
      <c r="T33" s="24" t="s">
        <v>35</v>
      </c>
      <c r="U33" s="24" t="s">
        <v>46</v>
      </c>
      <c r="V33" s="24" t="s">
        <v>46</v>
      </c>
      <c r="W33" s="26" t="s">
        <v>46</v>
      </c>
      <c r="X33" s="26" t="s">
        <v>47</v>
      </c>
      <c r="Y33" s="26" t="s">
        <v>47</v>
      </c>
      <c r="Z33" s="26" t="s">
        <v>47</v>
      </c>
      <c r="AA33" s="26" t="s">
        <v>47</v>
      </c>
      <c r="AB33" s="26"/>
      <c r="AC33" s="26"/>
      <c r="AD33" s="30">
        <f>IF(COUNTIF(C33:AC33,"A")=0,"",COUNTIF(C33:AC33,"A"))</f>
        <v>10</v>
      </c>
      <c r="AE33" s="29">
        <f t="shared" si="1"/>
        <v>8</v>
      </c>
      <c r="AF33" s="29">
        <f t="shared" si="2"/>
        <v>3</v>
      </c>
      <c r="AG33" s="29">
        <f t="shared" si="3"/>
        <v>4</v>
      </c>
      <c r="AH33" s="29">
        <f t="shared" si="4"/>
        <v>8</v>
      </c>
    </row>
    <row r="34" spans="1:34" ht="13.5" customHeight="1" x14ac:dyDescent="0.25">
      <c r="A34" s="24">
        <v>27</v>
      </c>
      <c r="B34" s="25">
        <f>FILIACIÓN!B33</f>
        <v>0</v>
      </c>
      <c r="C34" s="24" t="s">
        <v>36</v>
      </c>
      <c r="D34" s="24" t="s">
        <v>36</v>
      </c>
      <c r="E34" s="24" t="s">
        <v>36</v>
      </c>
      <c r="F34" s="24" t="s">
        <v>36</v>
      </c>
      <c r="G34" s="24" t="s">
        <v>36</v>
      </c>
      <c r="H34" s="24" t="s">
        <v>36</v>
      </c>
      <c r="I34" s="24" t="s">
        <v>36</v>
      </c>
      <c r="J34" s="24" t="s">
        <v>36</v>
      </c>
      <c r="K34" s="24" t="s">
        <v>36</v>
      </c>
      <c r="L34" s="24" t="s">
        <v>36</v>
      </c>
      <c r="M34" s="24" t="s">
        <v>35</v>
      </c>
      <c r="N34" s="24" t="s">
        <v>35</v>
      </c>
      <c r="O34" s="24" t="s">
        <v>35</v>
      </c>
      <c r="P34" s="24" t="s">
        <v>35</v>
      </c>
      <c r="Q34" s="24" t="s">
        <v>35</v>
      </c>
      <c r="R34" s="24" t="s">
        <v>35</v>
      </c>
      <c r="S34" s="24" t="s">
        <v>35</v>
      </c>
      <c r="T34" s="24" t="s">
        <v>35</v>
      </c>
      <c r="U34" s="24" t="s">
        <v>46</v>
      </c>
      <c r="V34" s="24" t="s">
        <v>46</v>
      </c>
      <c r="W34" s="26" t="s">
        <v>46</v>
      </c>
      <c r="X34" s="26" t="s">
        <v>47</v>
      </c>
      <c r="Y34" s="26" t="s">
        <v>47</v>
      </c>
      <c r="Z34" s="26" t="s">
        <v>47</v>
      </c>
      <c r="AA34" s="26" t="s">
        <v>47</v>
      </c>
      <c r="AB34" s="26"/>
      <c r="AC34" s="26"/>
      <c r="AD34" s="30">
        <f t="shared" si="0"/>
        <v>10</v>
      </c>
      <c r="AE34" s="29">
        <f t="shared" si="1"/>
        <v>8</v>
      </c>
      <c r="AF34" s="29">
        <f t="shared" si="2"/>
        <v>3</v>
      </c>
      <c r="AG34" s="29">
        <f t="shared" si="3"/>
        <v>4</v>
      </c>
      <c r="AH34" s="29">
        <f t="shared" si="4"/>
        <v>8</v>
      </c>
    </row>
    <row r="35" spans="1:34" ht="13.5" customHeight="1" x14ac:dyDescent="0.25">
      <c r="A35" s="24">
        <v>28</v>
      </c>
      <c r="B35" s="25">
        <f>FILIACIÓN!B34</f>
        <v>0</v>
      </c>
      <c r="C35" s="24" t="s">
        <v>36</v>
      </c>
      <c r="D35" s="24" t="s">
        <v>36</v>
      </c>
      <c r="E35" s="24" t="s">
        <v>36</v>
      </c>
      <c r="F35" s="24" t="s">
        <v>36</v>
      </c>
      <c r="G35" s="24" t="s">
        <v>36</v>
      </c>
      <c r="H35" s="24" t="s">
        <v>36</v>
      </c>
      <c r="I35" s="24" t="s">
        <v>36</v>
      </c>
      <c r="J35" s="24" t="s">
        <v>36</v>
      </c>
      <c r="K35" s="24" t="s">
        <v>36</v>
      </c>
      <c r="L35" s="24" t="s">
        <v>36</v>
      </c>
      <c r="M35" s="24" t="s">
        <v>35</v>
      </c>
      <c r="N35" s="24" t="s">
        <v>35</v>
      </c>
      <c r="O35" s="24" t="s">
        <v>35</v>
      </c>
      <c r="P35" s="24" t="s">
        <v>35</v>
      </c>
      <c r="Q35" s="24" t="s">
        <v>35</v>
      </c>
      <c r="R35" s="24" t="s">
        <v>35</v>
      </c>
      <c r="S35" s="24" t="s">
        <v>35</v>
      </c>
      <c r="T35" s="24" t="s">
        <v>35</v>
      </c>
      <c r="U35" s="24" t="s">
        <v>46</v>
      </c>
      <c r="V35" s="24" t="s">
        <v>46</v>
      </c>
      <c r="W35" s="26" t="s">
        <v>46</v>
      </c>
      <c r="X35" s="26" t="s">
        <v>47</v>
      </c>
      <c r="Y35" s="26" t="s">
        <v>47</v>
      </c>
      <c r="Z35" s="26" t="s">
        <v>47</v>
      </c>
      <c r="AA35" s="26" t="s">
        <v>47</v>
      </c>
      <c r="AB35" s="26"/>
      <c r="AC35" s="26"/>
      <c r="AD35" s="30">
        <f t="shared" si="0"/>
        <v>10</v>
      </c>
      <c r="AE35" s="29">
        <f t="shared" si="1"/>
        <v>8</v>
      </c>
      <c r="AF35" s="29">
        <f t="shared" si="2"/>
        <v>3</v>
      </c>
      <c r="AG35" s="29">
        <f t="shared" si="3"/>
        <v>4</v>
      </c>
      <c r="AH35" s="29">
        <f t="shared" si="4"/>
        <v>8</v>
      </c>
    </row>
    <row r="36" spans="1:34" ht="13.5" customHeight="1" x14ac:dyDescent="0.25">
      <c r="A36" s="24">
        <v>29</v>
      </c>
      <c r="B36" s="25">
        <f>FILIACIÓN!B35</f>
        <v>0</v>
      </c>
      <c r="C36" s="24" t="s">
        <v>36</v>
      </c>
      <c r="D36" s="24" t="s">
        <v>36</v>
      </c>
      <c r="E36" s="24" t="s">
        <v>36</v>
      </c>
      <c r="F36" s="24" t="s">
        <v>36</v>
      </c>
      <c r="G36" s="24" t="s">
        <v>36</v>
      </c>
      <c r="H36" s="24" t="s">
        <v>36</v>
      </c>
      <c r="I36" s="24" t="s">
        <v>36</v>
      </c>
      <c r="J36" s="24" t="s">
        <v>36</v>
      </c>
      <c r="K36" s="24" t="s">
        <v>36</v>
      </c>
      <c r="L36" s="24" t="s">
        <v>36</v>
      </c>
      <c r="M36" s="24" t="s">
        <v>35</v>
      </c>
      <c r="N36" s="24" t="s">
        <v>35</v>
      </c>
      <c r="O36" s="24" t="s">
        <v>35</v>
      </c>
      <c r="P36" s="24" t="s">
        <v>35</v>
      </c>
      <c r="Q36" s="24" t="s">
        <v>35</v>
      </c>
      <c r="R36" s="24" t="s">
        <v>35</v>
      </c>
      <c r="S36" s="24" t="s">
        <v>35</v>
      </c>
      <c r="T36" s="24" t="s">
        <v>35</v>
      </c>
      <c r="U36" s="24" t="s">
        <v>46</v>
      </c>
      <c r="V36" s="24" t="s">
        <v>46</v>
      </c>
      <c r="W36" s="26" t="s">
        <v>46</v>
      </c>
      <c r="X36" s="26" t="s">
        <v>47</v>
      </c>
      <c r="Y36" s="26" t="s">
        <v>47</v>
      </c>
      <c r="Z36" s="26" t="s">
        <v>47</v>
      </c>
      <c r="AA36" s="26" t="s">
        <v>47</v>
      </c>
      <c r="AB36" s="26"/>
      <c r="AC36" s="26"/>
      <c r="AD36" s="30">
        <f t="shared" si="0"/>
        <v>10</v>
      </c>
      <c r="AE36" s="29">
        <f t="shared" si="1"/>
        <v>8</v>
      </c>
      <c r="AF36" s="29">
        <f t="shared" si="2"/>
        <v>3</v>
      </c>
      <c r="AG36" s="29">
        <f t="shared" si="3"/>
        <v>4</v>
      </c>
      <c r="AH36" s="29">
        <f t="shared" si="4"/>
        <v>8</v>
      </c>
    </row>
    <row r="37" spans="1:34" ht="13.5" customHeight="1" x14ac:dyDescent="0.25">
      <c r="A37" s="24">
        <v>30</v>
      </c>
      <c r="B37" s="25">
        <f>FILIACIÓN!B36</f>
        <v>0</v>
      </c>
      <c r="C37" s="24" t="s">
        <v>36</v>
      </c>
      <c r="D37" s="24" t="s">
        <v>36</v>
      </c>
      <c r="E37" s="24" t="s">
        <v>36</v>
      </c>
      <c r="F37" s="24" t="s">
        <v>36</v>
      </c>
      <c r="G37" s="24" t="s">
        <v>36</v>
      </c>
      <c r="H37" s="24" t="s">
        <v>36</v>
      </c>
      <c r="I37" s="24" t="s">
        <v>36</v>
      </c>
      <c r="J37" s="24" t="s">
        <v>36</v>
      </c>
      <c r="K37" s="24" t="s">
        <v>36</v>
      </c>
      <c r="L37" s="24" t="s">
        <v>36</v>
      </c>
      <c r="M37" s="24" t="s">
        <v>35</v>
      </c>
      <c r="N37" s="24" t="s">
        <v>35</v>
      </c>
      <c r="O37" s="24" t="s">
        <v>35</v>
      </c>
      <c r="P37" s="24" t="s">
        <v>35</v>
      </c>
      <c r="Q37" s="24" t="s">
        <v>35</v>
      </c>
      <c r="R37" s="24" t="s">
        <v>35</v>
      </c>
      <c r="S37" s="24" t="s">
        <v>35</v>
      </c>
      <c r="T37" s="24" t="s">
        <v>35</v>
      </c>
      <c r="U37" s="24" t="s">
        <v>46</v>
      </c>
      <c r="V37" s="24" t="s">
        <v>46</v>
      </c>
      <c r="W37" s="26" t="s">
        <v>46</v>
      </c>
      <c r="X37" s="26" t="s">
        <v>47</v>
      </c>
      <c r="Y37" s="26" t="s">
        <v>47</v>
      </c>
      <c r="Z37" s="26" t="s">
        <v>47</v>
      </c>
      <c r="AA37" s="26" t="s">
        <v>47</v>
      </c>
      <c r="AB37" s="26"/>
      <c r="AC37" s="26"/>
      <c r="AD37" s="30">
        <f t="shared" si="0"/>
        <v>10</v>
      </c>
      <c r="AE37" s="29">
        <f t="shared" si="1"/>
        <v>8</v>
      </c>
      <c r="AF37" s="29">
        <f t="shared" si="2"/>
        <v>3</v>
      </c>
      <c r="AG37" s="29">
        <f t="shared" si="3"/>
        <v>4</v>
      </c>
      <c r="AH37" s="29">
        <f t="shared" si="4"/>
        <v>8</v>
      </c>
    </row>
    <row r="38" spans="1:34" ht="13.5" customHeight="1" x14ac:dyDescent="0.25">
      <c r="A38" s="24">
        <v>31</v>
      </c>
      <c r="B38" s="25">
        <f>FILIACIÓN!B37</f>
        <v>0</v>
      </c>
      <c r="C38" s="24" t="s">
        <v>36</v>
      </c>
      <c r="D38" s="24" t="s">
        <v>36</v>
      </c>
      <c r="E38" s="24" t="s">
        <v>36</v>
      </c>
      <c r="F38" s="24" t="s">
        <v>36</v>
      </c>
      <c r="G38" s="24" t="s">
        <v>36</v>
      </c>
      <c r="H38" s="24" t="s">
        <v>36</v>
      </c>
      <c r="I38" s="24" t="s">
        <v>36</v>
      </c>
      <c r="J38" s="24" t="s">
        <v>36</v>
      </c>
      <c r="K38" s="24" t="s">
        <v>36</v>
      </c>
      <c r="L38" s="24" t="s">
        <v>36</v>
      </c>
      <c r="M38" s="24" t="s">
        <v>35</v>
      </c>
      <c r="N38" s="24" t="s">
        <v>35</v>
      </c>
      <c r="O38" s="24" t="s">
        <v>35</v>
      </c>
      <c r="P38" s="24" t="s">
        <v>35</v>
      </c>
      <c r="Q38" s="24" t="s">
        <v>35</v>
      </c>
      <c r="R38" s="24" t="s">
        <v>35</v>
      </c>
      <c r="S38" s="24" t="s">
        <v>35</v>
      </c>
      <c r="T38" s="24" t="s">
        <v>35</v>
      </c>
      <c r="U38" s="24" t="s">
        <v>46</v>
      </c>
      <c r="V38" s="24" t="s">
        <v>46</v>
      </c>
      <c r="W38" s="26" t="s">
        <v>46</v>
      </c>
      <c r="X38" s="26" t="s">
        <v>47</v>
      </c>
      <c r="Y38" s="26" t="s">
        <v>47</v>
      </c>
      <c r="Z38" s="26" t="s">
        <v>47</v>
      </c>
      <c r="AA38" s="26" t="s">
        <v>47</v>
      </c>
      <c r="AB38" s="26"/>
      <c r="AC38" s="26"/>
      <c r="AD38" s="30">
        <f t="shared" si="0"/>
        <v>10</v>
      </c>
      <c r="AE38" s="29">
        <f t="shared" si="1"/>
        <v>8</v>
      </c>
      <c r="AF38" s="29">
        <f t="shared" si="2"/>
        <v>3</v>
      </c>
      <c r="AG38" s="29">
        <f t="shared" si="3"/>
        <v>4</v>
      </c>
      <c r="AH38" s="29">
        <f t="shared" si="4"/>
        <v>8</v>
      </c>
    </row>
    <row r="39" spans="1:34" ht="13.5" customHeight="1" x14ac:dyDescent="0.25">
      <c r="A39" s="24">
        <v>32</v>
      </c>
      <c r="B39" s="25">
        <f>FILIACIÓN!B38</f>
        <v>0</v>
      </c>
      <c r="C39" s="24" t="s">
        <v>36</v>
      </c>
      <c r="D39" s="24" t="s">
        <v>36</v>
      </c>
      <c r="E39" s="24" t="s">
        <v>36</v>
      </c>
      <c r="F39" s="24" t="s">
        <v>36</v>
      </c>
      <c r="G39" s="24" t="s">
        <v>36</v>
      </c>
      <c r="H39" s="24" t="s">
        <v>36</v>
      </c>
      <c r="I39" s="24" t="s">
        <v>36</v>
      </c>
      <c r="J39" s="24" t="s">
        <v>36</v>
      </c>
      <c r="K39" s="24" t="s">
        <v>36</v>
      </c>
      <c r="L39" s="24" t="s">
        <v>36</v>
      </c>
      <c r="M39" s="24" t="s">
        <v>35</v>
      </c>
      <c r="N39" s="24" t="s">
        <v>35</v>
      </c>
      <c r="O39" s="24" t="s">
        <v>35</v>
      </c>
      <c r="P39" s="24" t="s">
        <v>35</v>
      </c>
      <c r="Q39" s="24" t="s">
        <v>35</v>
      </c>
      <c r="R39" s="24" t="s">
        <v>35</v>
      </c>
      <c r="S39" s="24" t="s">
        <v>35</v>
      </c>
      <c r="T39" s="24" t="s">
        <v>35</v>
      </c>
      <c r="U39" s="24" t="s">
        <v>46</v>
      </c>
      <c r="V39" s="24" t="s">
        <v>46</v>
      </c>
      <c r="W39" s="26" t="s">
        <v>46</v>
      </c>
      <c r="X39" s="26" t="s">
        <v>47</v>
      </c>
      <c r="Y39" s="26" t="s">
        <v>47</v>
      </c>
      <c r="Z39" s="26" t="s">
        <v>47</v>
      </c>
      <c r="AA39" s="26" t="s">
        <v>47</v>
      </c>
      <c r="AB39" s="26"/>
      <c r="AC39" s="26"/>
      <c r="AD39" s="30">
        <f t="shared" si="0"/>
        <v>10</v>
      </c>
      <c r="AE39" s="29">
        <f t="shared" si="1"/>
        <v>8</v>
      </c>
      <c r="AF39" s="29">
        <f t="shared" si="2"/>
        <v>3</v>
      </c>
      <c r="AG39" s="29">
        <f t="shared" si="3"/>
        <v>4</v>
      </c>
      <c r="AH39" s="29">
        <f t="shared" si="4"/>
        <v>8</v>
      </c>
    </row>
    <row r="40" spans="1:34" ht="13.5" customHeight="1" x14ac:dyDescent="0.25">
      <c r="A40" s="24">
        <v>33</v>
      </c>
      <c r="B40" s="25">
        <f>FILIACIÓN!B39</f>
        <v>0</v>
      </c>
      <c r="C40" s="24" t="s">
        <v>36</v>
      </c>
      <c r="D40" s="24" t="s">
        <v>36</v>
      </c>
      <c r="E40" s="24" t="s">
        <v>36</v>
      </c>
      <c r="F40" s="24" t="s">
        <v>36</v>
      </c>
      <c r="G40" s="24" t="s">
        <v>36</v>
      </c>
      <c r="H40" s="24" t="s">
        <v>36</v>
      </c>
      <c r="I40" s="24" t="s">
        <v>36</v>
      </c>
      <c r="J40" s="24" t="s">
        <v>36</v>
      </c>
      <c r="K40" s="24" t="s">
        <v>36</v>
      </c>
      <c r="L40" s="24" t="s">
        <v>36</v>
      </c>
      <c r="M40" s="24" t="s">
        <v>35</v>
      </c>
      <c r="N40" s="24" t="s">
        <v>35</v>
      </c>
      <c r="O40" s="24" t="s">
        <v>35</v>
      </c>
      <c r="P40" s="24" t="s">
        <v>35</v>
      </c>
      <c r="Q40" s="24" t="s">
        <v>35</v>
      </c>
      <c r="R40" s="24" t="s">
        <v>35</v>
      </c>
      <c r="S40" s="24" t="s">
        <v>35</v>
      </c>
      <c r="T40" s="24" t="s">
        <v>35</v>
      </c>
      <c r="U40" s="24" t="s">
        <v>46</v>
      </c>
      <c r="V40" s="24" t="s">
        <v>46</v>
      </c>
      <c r="W40" s="26" t="s">
        <v>46</v>
      </c>
      <c r="X40" s="26" t="s">
        <v>47</v>
      </c>
      <c r="Y40" s="26" t="s">
        <v>47</v>
      </c>
      <c r="Z40" s="26" t="s">
        <v>47</v>
      </c>
      <c r="AA40" s="26" t="s">
        <v>47</v>
      </c>
      <c r="AB40" s="26"/>
      <c r="AC40" s="26"/>
      <c r="AD40" s="30">
        <f t="shared" si="0"/>
        <v>10</v>
      </c>
      <c r="AE40" s="29">
        <f t="shared" si="1"/>
        <v>8</v>
      </c>
      <c r="AF40" s="29">
        <f t="shared" si="2"/>
        <v>3</v>
      </c>
      <c r="AG40" s="29">
        <f t="shared" si="3"/>
        <v>4</v>
      </c>
      <c r="AH40" s="29">
        <f t="shared" si="4"/>
        <v>8</v>
      </c>
    </row>
    <row r="41" spans="1:34" ht="13.5" customHeight="1" x14ac:dyDescent="0.25">
      <c r="A41" s="24">
        <v>34</v>
      </c>
      <c r="B41" s="25">
        <f>FILIACIÓN!B40</f>
        <v>0</v>
      </c>
      <c r="C41" s="24" t="s">
        <v>36</v>
      </c>
      <c r="D41" s="24" t="s">
        <v>36</v>
      </c>
      <c r="E41" s="24" t="s">
        <v>36</v>
      </c>
      <c r="F41" s="24" t="s">
        <v>36</v>
      </c>
      <c r="G41" s="24" t="s">
        <v>36</v>
      </c>
      <c r="H41" s="24" t="s">
        <v>36</v>
      </c>
      <c r="I41" s="24" t="s">
        <v>36</v>
      </c>
      <c r="J41" s="24" t="s">
        <v>36</v>
      </c>
      <c r="K41" s="24" t="s">
        <v>36</v>
      </c>
      <c r="L41" s="24" t="s">
        <v>36</v>
      </c>
      <c r="M41" s="24" t="s">
        <v>35</v>
      </c>
      <c r="N41" s="24" t="s">
        <v>35</v>
      </c>
      <c r="O41" s="24" t="s">
        <v>35</v>
      </c>
      <c r="P41" s="24" t="s">
        <v>35</v>
      </c>
      <c r="Q41" s="24" t="s">
        <v>35</v>
      </c>
      <c r="R41" s="24" t="s">
        <v>35</v>
      </c>
      <c r="S41" s="24" t="s">
        <v>35</v>
      </c>
      <c r="T41" s="24" t="s">
        <v>35</v>
      </c>
      <c r="U41" s="24" t="s">
        <v>46</v>
      </c>
      <c r="V41" s="24" t="s">
        <v>46</v>
      </c>
      <c r="W41" s="26" t="s">
        <v>46</v>
      </c>
      <c r="X41" s="26" t="s">
        <v>47</v>
      </c>
      <c r="Y41" s="26" t="s">
        <v>47</v>
      </c>
      <c r="Z41" s="26" t="s">
        <v>47</v>
      </c>
      <c r="AA41" s="26" t="s">
        <v>47</v>
      </c>
      <c r="AB41" s="26"/>
      <c r="AC41" s="26"/>
      <c r="AD41" s="30">
        <f>IF(COUNTIF(C41:AC41,"A")=0,"",COUNTIF(C41:AC41,"A"))</f>
        <v>10</v>
      </c>
      <c r="AE41" s="29">
        <f t="shared" si="1"/>
        <v>8</v>
      </c>
      <c r="AF41" s="29">
        <f t="shared" si="2"/>
        <v>3</v>
      </c>
      <c r="AG41" s="29">
        <f t="shared" si="3"/>
        <v>4</v>
      </c>
      <c r="AH41" s="29">
        <f t="shared" si="4"/>
        <v>8</v>
      </c>
    </row>
    <row r="42" spans="1:34" ht="13.5" customHeight="1" x14ac:dyDescent="0.25">
      <c r="A42" s="24">
        <v>35</v>
      </c>
      <c r="B42" s="25">
        <f>FILIACIÓN!B41</f>
        <v>0</v>
      </c>
      <c r="C42" s="24" t="s">
        <v>36</v>
      </c>
      <c r="D42" s="24" t="s">
        <v>36</v>
      </c>
      <c r="E42" s="24" t="s">
        <v>36</v>
      </c>
      <c r="F42" s="24" t="s">
        <v>36</v>
      </c>
      <c r="G42" s="24" t="s">
        <v>36</v>
      </c>
      <c r="H42" s="24" t="s">
        <v>36</v>
      </c>
      <c r="I42" s="24" t="s">
        <v>36</v>
      </c>
      <c r="J42" s="24" t="s">
        <v>36</v>
      </c>
      <c r="K42" s="24" t="s">
        <v>36</v>
      </c>
      <c r="L42" s="24" t="s">
        <v>36</v>
      </c>
      <c r="M42" s="24" t="s">
        <v>35</v>
      </c>
      <c r="N42" s="24" t="s">
        <v>35</v>
      </c>
      <c r="O42" s="24" t="s">
        <v>35</v>
      </c>
      <c r="P42" s="24" t="s">
        <v>35</v>
      </c>
      <c r="Q42" s="24" t="s">
        <v>35</v>
      </c>
      <c r="R42" s="24" t="s">
        <v>35</v>
      </c>
      <c r="S42" s="24" t="s">
        <v>35</v>
      </c>
      <c r="T42" s="24" t="s">
        <v>35</v>
      </c>
      <c r="U42" s="24" t="s">
        <v>46</v>
      </c>
      <c r="V42" s="24" t="s">
        <v>46</v>
      </c>
      <c r="W42" s="26" t="s">
        <v>46</v>
      </c>
      <c r="X42" s="26" t="s">
        <v>47</v>
      </c>
      <c r="Y42" s="26" t="s">
        <v>47</v>
      </c>
      <c r="Z42" s="26" t="s">
        <v>47</v>
      </c>
      <c r="AA42" s="26" t="s">
        <v>47</v>
      </c>
      <c r="AB42" s="26"/>
      <c r="AC42" s="26"/>
      <c r="AD42" s="30">
        <f t="shared" si="0"/>
        <v>10</v>
      </c>
      <c r="AE42" s="29">
        <f t="shared" si="1"/>
        <v>8</v>
      </c>
      <c r="AF42" s="29">
        <f t="shared" si="2"/>
        <v>3</v>
      </c>
      <c r="AG42" s="29">
        <f t="shared" si="3"/>
        <v>4</v>
      </c>
      <c r="AH42" s="29">
        <f t="shared" si="4"/>
        <v>8</v>
      </c>
    </row>
    <row r="43" spans="1:34" ht="14.45" customHeight="1" x14ac:dyDescent="0.25">
      <c r="A43" s="7"/>
    </row>
    <row r="44" spans="1:34" ht="14.45" customHeight="1" x14ac:dyDescent="0.25">
      <c r="A44" s="7"/>
    </row>
    <row r="45" spans="1:34" ht="14.45" customHeight="1" x14ac:dyDescent="0.25">
      <c r="A45" s="7"/>
    </row>
    <row r="46" spans="1:34" ht="14.45" customHeight="1" x14ac:dyDescent="0.25">
      <c r="A46" s="7"/>
    </row>
    <row r="47" spans="1:34" ht="14.45" customHeight="1" x14ac:dyDescent="0.25">
      <c r="A47" s="7"/>
    </row>
    <row r="48" spans="1:34" ht="14.45" customHeight="1" x14ac:dyDescent="0.25">
      <c r="A48" s="7"/>
    </row>
    <row r="49" spans="1:1" ht="14.45" customHeight="1" x14ac:dyDescent="0.25">
      <c r="A49" s="7"/>
    </row>
    <row r="50" spans="1:1" ht="14.45" customHeight="1" x14ac:dyDescent="0.25">
      <c r="A50" s="7"/>
    </row>
    <row r="51" spans="1:1" ht="14.45" customHeight="1" x14ac:dyDescent="0.25">
      <c r="A51" s="7"/>
    </row>
    <row r="52" spans="1:1" ht="14.45" customHeight="1" x14ac:dyDescent="0.25">
      <c r="A52" s="7"/>
    </row>
    <row r="53" spans="1:1" ht="14.45" customHeight="1" x14ac:dyDescent="0.25">
      <c r="A53" s="7"/>
    </row>
    <row r="54" spans="1:1" ht="14.45" customHeight="1" x14ac:dyDescent="0.25">
      <c r="A54" s="7"/>
    </row>
    <row r="55" spans="1:1" ht="14.45" customHeight="1" x14ac:dyDescent="0.25">
      <c r="A55" s="7"/>
    </row>
    <row r="56" spans="1:1" ht="14.45" customHeight="1" x14ac:dyDescent="0.25">
      <c r="A56" s="7"/>
    </row>
    <row r="57" spans="1:1" ht="14.45" customHeight="1" x14ac:dyDescent="0.25">
      <c r="A57" s="7"/>
    </row>
    <row r="58" spans="1:1" ht="14.45" customHeight="1" x14ac:dyDescent="0.25">
      <c r="A58" s="7"/>
    </row>
    <row r="59" spans="1:1" ht="14.45" customHeight="1" x14ac:dyDescent="0.25">
      <c r="A59" s="7"/>
    </row>
    <row r="60" spans="1:1" ht="14.45" customHeight="1" x14ac:dyDescent="0.25">
      <c r="A60" s="7"/>
    </row>
    <row r="61" spans="1:1" ht="14.45" customHeight="1" x14ac:dyDescent="0.25">
      <c r="A61" s="7"/>
    </row>
    <row r="62" spans="1:1" ht="14.45" customHeight="1" x14ac:dyDescent="0.25">
      <c r="A62" s="7"/>
    </row>
    <row r="63" spans="1:1" ht="14.45" customHeight="1" x14ac:dyDescent="0.25">
      <c r="A63" s="7"/>
    </row>
    <row r="64" spans="1:1" ht="14.45" customHeight="1" x14ac:dyDescent="0.25">
      <c r="A64" s="7"/>
    </row>
    <row r="65" spans="1:1" ht="14.45" customHeight="1" x14ac:dyDescent="0.25">
      <c r="A65" s="7"/>
    </row>
    <row r="66" spans="1:1" ht="14.45" customHeight="1" x14ac:dyDescent="0.25">
      <c r="A66" s="7"/>
    </row>
    <row r="67" spans="1:1" ht="14.45" customHeight="1" x14ac:dyDescent="0.25">
      <c r="A67" s="7"/>
    </row>
    <row r="68" spans="1:1" ht="14.45" customHeight="1" x14ac:dyDescent="0.25">
      <c r="A68" s="7"/>
    </row>
    <row r="69" spans="1:1" ht="14.45" customHeight="1" x14ac:dyDescent="0.25">
      <c r="A69" s="7"/>
    </row>
    <row r="70" spans="1:1" ht="14.45" customHeight="1" x14ac:dyDescent="0.25">
      <c r="A70" s="7"/>
    </row>
    <row r="71" spans="1:1" ht="14.45" customHeight="1" x14ac:dyDescent="0.25">
      <c r="A71" s="7"/>
    </row>
    <row r="72" spans="1:1" ht="14.45" customHeight="1" x14ac:dyDescent="0.25">
      <c r="A72" s="7"/>
    </row>
    <row r="73" spans="1:1" ht="14.45" customHeight="1" x14ac:dyDescent="0.25">
      <c r="A73" s="7"/>
    </row>
  </sheetData>
  <sheetProtection sheet="1" objects="1" scenarios="1"/>
  <mergeCells count="4">
    <mergeCell ref="B2:AE2"/>
    <mergeCell ref="V3:AG3"/>
    <mergeCell ref="R4:U4"/>
    <mergeCell ref="V4:Z4"/>
  </mergeCell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otón2_Haga_clic_en">
                <anchor>
                  <from>
                    <xdr:col>34</xdr:col>
                    <xdr:colOff>38100</xdr:colOff>
                    <xdr:row>6</xdr:row>
                    <xdr:rowOff>47625</xdr:rowOff>
                  </from>
                  <to>
                    <xdr:col>35</xdr:col>
                    <xdr:colOff>428625</xdr:colOff>
                    <xdr:row>6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A065E-0FA1-4054-B93C-47DCA1C2C5DA}">
  <sheetPr codeName="Hoja14">
    <tabColor theme="9" tint="-0.499984740745262"/>
  </sheetPr>
  <dimension ref="A1:AA43"/>
  <sheetViews>
    <sheetView zoomScale="130" zoomScaleNormal="130" workbookViewId="0"/>
  </sheetViews>
  <sheetFormatPr baseColWidth="10" defaultRowHeight="12.75" customHeight="1" x14ac:dyDescent="0.2"/>
  <cols>
    <col min="1" max="1" width="2.28515625" style="43" customWidth="1"/>
    <col min="2" max="2" width="27.7109375" style="7" customWidth="1"/>
    <col min="3" max="25" width="2.7109375" style="7" customWidth="1"/>
    <col min="26" max="26" width="4.7109375" style="7" customWidth="1"/>
    <col min="27" max="27" width="13.5703125" style="7" customWidth="1"/>
    <col min="28" max="16384" width="11.42578125" style="7"/>
  </cols>
  <sheetData>
    <row r="1" spans="1:27" ht="5.0999999999999996" customHeight="1" x14ac:dyDescent="0.2"/>
    <row r="2" spans="1:27" ht="12.75" customHeight="1" x14ac:dyDescent="0.2">
      <c r="B2" s="92" t="s">
        <v>70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ht="12.75" customHeight="1" x14ac:dyDescent="0.2">
      <c r="B3" s="48" t="s">
        <v>37</v>
      </c>
      <c r="C3" s="7" t="str">
        <f>CARÁTULA!$F$12</f>
        <v>SAGRADA FAMILIA III</v>
      </c>
      <c r="P3" s="106" t="s">
        <v>9</v>
      </c>
      <c r="Q3" s="106"/>
      <c r="R3" s="106"/>
      <c r="S3" s="106"/>
      <c r="T3" s="107">
        <f>CARÁTULA!$F$27</f>
        <v>2022</v>
      </c>
      <c r="U3" s="107"/>
      <c r="V3" s="107"/>
      <c r="W3" s="107"/>
    </row>
    <row r="4" spans="1:27" ht="12" customHeight="1" x14ac:dyDescent="0.2">
      <c r="B4" s="49" t="s">
        <v>5</v>
      </c>
      <c r="C4" s="7" t="str">
        <f>CARÁTULA!$F$18</f>
        <v>AUXILIAR</v>
      </c>
    </row>
    <row r="5" spans="1:27" ht="12.75" customHeight="1" x14ac:dyDescent="0.2">
      <c r="B5" s="49" t="s">
        <v>38</v>
      </c>
      <c r="C5" s="7" t="str">
        <f>CARÁTULA!$F$16</f>
        <v>MARÍA DE LOS JARICHIS</v>
      </c>
    </row>
    <row r="6" spans="1:27" ht="12.75" customHeight="1" x14ac:dyDescent="0.2">
      <c r="P6" s="109" t="s">
        <v>57</v>
      </c>
      <c r="Q6" s="109"/>
      <c r="R6" s="109"/>
      <c r="S6" s="109"/>
      <c r="T6" s="109"/>
      <c r="U6" s="109"/>
      <c r="V6" s="109"/>
      <c r="W6" s="112" t="s">
        <v>58</v>
      </c>
      <c r="X6" s="112" t="s">
        <v>62</v>
      </c>
      <c r="Y6" s="100" t="s">
        <v>61</v>
      </c>
      <c r="Z6" s="103" t="s">
        <v>71</v>
      </c>
    </row>
    <row r="7" spans="1:27" ht="12.75" customHeight="1" x14ac:dyDescent="0.2">
      <c r="C7" s="111" t="s">
        <v>53</v>
      </c>
      <c r="D7" s="111"/>
      <c r="E7" s="111"/>
      <c r="F7" s="110" t="s">
        <v>56</v>
      </c>
      <c r="G7" s="111" t="s">
        <v>54</v>
      </c>
      <c r="H7" s="111"/>
      <c r="I7" s="111"/>
      <c r="J7" s="111"/>
      <c r="K7" s="110" t="s">
        <v>56</v>
      </c>
      <c r="L7" s="109" t="s">
        <v>55</v>
      </c>
      <c r="M7" s="109"/>
      <c r="N7" s="109"/>
      <c r="O7" s="108" t="s">
        <v>56</v>
      </c>
      <c r="P7" s="109" t="s">
        <v>59</v>
      </c>
      <c r="Q7" s="109"/>
      <c r="R7" s="109"/>
      <c r="S7" s="110" t="s">
        <v>58</v>
      </c>
      <c r="T7" s="109" t="s">
        <v>60</v>
      </c>
      <c r="U7" s="109"/>
      <c r="V7" s="109"/>
      <c r="W7" s="113"/>
      <c r="X7" s="113"/>
      <c r="Y7" s="101"/>
      <c r="Z7" s="104"/>
    </row>
    <row r="8" spans="1:27" ht="75" customHeight="1" x14ac:dyDescent="0.2">
      <c r="A8" s="56" t="s">
        <v>23</v>
      </c>
      <c r="B8" s="47" t="s">
        <v>68</v>
      </c>
      <c r="C8" s="45"/>
      <c r="D8" s="33"/>
      <c r="E8" s="33"/>
      <c r="F8" s="110"/>
      <c r="G8" s="33"/>
      <c r="H8" s="33"/>
      <c r="I8" s="33"/>
      <c r="J8" s="33"/>
      <c r="K8" s="110"/>
      <c r="L8" s="33"/>
      <c r="M8" s="33"/>
      <c r="N8" s="44"/>
      <c r="O8" s="108"/>
      <c r="P8" s="33"/>
      <c r="Q8" s="33"/>
      <c r="R8" s="33"/>
      <c r="S8" s="110"/>
      <c r="T8" s="33"/>
      <c r="U8" s="33"/>
      <c r="V8" s="33"/>
      <c r="W8" s="114"/>
      <c r="X8" s="114"/>
      <c r="Y8" s="102"/>
      <c r="Z8" s="105"/>
      <c r="AA8" s="52" t="s">
        <v>65</v>
      </c>
    </row>
    <row r="9" spans="1:27" ht="12.75" customHeight="1" x14ac:dyDescent="0.2">
      <c r="A9" s="46">
        <v>1</v>
      </c>
      <c r="B9" s="55" t="str">
        <f>FILIACIÓN!B7</f>
        <v>JJJJJJJJJJJJJJJJJJJJ</v>
      </c>
      <c r="C9" s="51">
        <v>10</v>
      </c>
      <c r="D9" s="51">
        <v>10</v>
      </c>
      <c r="E9" s="51">
        <v>10</v>
      </c>
      <c r="F9" s="53">
        <f>IFERROR(AVERAGE(C9:E9),"")</f>
        <v>10</v>
      </c>
      <c r="G9" s="51">
        <v>20</v>
      </c>
      <c r="H9" s="51">
        <v>20</v>
      </c>
      <c r="I9" s="51">
        <v>20</v>
      </c>
      <c r="J9" s="51">
        <v>20</v>
      </c>
      <c r="K9" s="53">
        <f>IFERROR(AVERAGE(G9:J9),"")</f>
        <v>20</v>
      </c>
      <c r="L9" s="50">
        <v>10</v>
      </c>
      <c r="M9" s="50">
        <v>10</v>
      </c>
      <c r="N9" s="50">
        <v>10</v>
      </c>
      <c r="O9" s="53">
        <f>IFERROR(AVERAGE(L9:N9),"")</f>
        <v>10</v>
      </c>
      <c r="P9" s="51">
        <v>20</v>
      </c>
      <c r="Q9" s="51">
        <v>20</v>
      </c>
      <c r="R9" s="51">
        <v>20</v>
      </c>
      <c r="S9" s="53">
        <f>IFERROR(AVERAGE(P9:R9),"")</f>
        <v>20</v>
      </c>
      <c r="T9" s="51">
        <v>20</v>
      </c>
      <c r="U9" s="51">
        <v>20</v>
      </c>
      <c r="V9" s="51">
        <v>20</v>
      </c>
      <c r="W9" s="53">
        <f>IFERROR(AVERAGE(T9:V9),"")</f>
        <v>20</v>
      </c>
      <c r="X9" s="53">
        <f>SUM(S9,W9)</f>
        <v>40</v>
      </c>
      <c r="Y9" s="51">
        <v>20</v>
      </c>
      <c r="Z9" s="53">
        <f>IFERROR((SUM(F9,K9,O9,S9,W9,Y9))," ")</f>
        <v>100</v>
      </c>
      <c r="AA9" s="54" t="str">
        <f>IF(Z9="","",(IF(AND(Z9&gt;=1,Z9&lt;=50.499),"REPROBADO",IF(AND(Z9&gt;=50.5,Z9&lt;=100),"APROBADO"))))</f>
        <v>APROBADO</v>
      </c>
    </row>
    <row r="10" spans="1:27" ht="12.75" customHeight="1" x14ac:dyDescent="0.2">
      <c r="A10" s="46">
        <v>2</v>
      </c>
      <c r="B10" s="55" t="str">
        <f>FILIACIÓN!B8</f>
        <v>AAAAAAAAAAAAAAAAAA</v>
      </c>
      <c r="C10" s="51">
        <v>10</v>
      </c>
      <c r="D10" s="51">
        <v>10</v>
      </c>
      <c r="E10" s="51">
        <v>10</v>
      </c>
      <c r="F10" s="53">
        <f t="shared" ref="F10:F43" si="0">IFERROR(AVERAGE(C10:E10),"")</f>
        <v>10</v>
      </c>
      <c r="G10" s="51">
        <v>20</v>
      </c>
      <c r="H10" s="51">
        <v>20</v>
      </c>
      <c r="I10" s="51">
        <v>20</v>
      </c>
      <c r="J10" s="51">
        <v>20</v>
      </c>
      <c r="K10" s="53">
        <f t="shared" ref="K10:K43" si="1">IFERROR(AVERAGE(G10:J10),"")</f>
        <v>20</v>
      </c>
      <c r="L10" s="50">
        <v>10</v>
      </c>
      <c r="M10" s="50">
        <v>10</v>
      </c>
      <c r="N10" s="50">
        <v>10</v>
      </c>
      <c r="O10" s="53">
        <f t="shared" ref="O10:O43" si="2">IFERROR(AVERAGE(L10:N10),"")</f>
        <v>10</v>
      </c>
      <c r="P10" s="51">
        <v>20</v>
      </c>
      <c r="Q10" s="51">
        <v>20</v>
      </c>
      <c r="R10" s="51">
        <v>20</v>
      </c>
      <c r="S10" s="53">
        <f t="shared" ref="S10:S43" si="3">IFERROR(AVERAGE(P10:R10),"")</f>
        <v>20</v>
      </c>
      <c r="T10" s="51">
        <v>20</v>
      </c>
      <c r="U10" s="51">
        <v>20</v>
      </c>
      <c r="V10" s="51">
        <v>20</v>
      </c>
      <c r="W10" s="53">
        <f t="shared" ref="W10:W43" si="4">IFERROR(AVERAGE(T10:V10),"")</f>
        <v>20</v>
      </c>
      <c r="X10" s="53">
        <f t="shared" ref="X10:X43" si="5">SUM(S10,W10)</f>
        <v>40</v>
      </c>
      <c r="Y10" s="51">
        <v>20</v>
      </c>
      <c r="Z10" s="53">
        <f t="shared" ref="Z10:Z43" si="6">IFERROR((SUM(F10,K10,O10,S10,W10,Y10))," ")</f>
        <v>100</v>
      </c>
      <c r="AA10" s="54" t="str">
        <f t="shared" ref="AA10:AA43" si="7">IF(Z10="","",(IF(AND(Z10&gt;=1,Z10&lt;=50.499),"REPROBADO",IF(AND(Z10&gt;=50.5,Z10&lt;=100),"APROBADO"))))</f>
        <v>APROBADO</v>
      </c>
    </row>
    <row r="11" spans="1:27" ht="12.75" customHeight="1" x14ac:dyDescent="0.2">
      <c r="A11" s="46">
        <v>3</v>
      </c>
      <c r="B11" s="55" t="str">
        <f>FILIACIÓN!B9</f>
        <v>OOOOOOOOOOOOOOOOOO</v>
      </c>
      <c r="C11" s="51">
        <v>10</v>
      </c>
      <c r="D11" s="51">
        <v>10</v>
      </c>
      <c r="E11" s="51">
        <v>10</v>
      </c>
      <c r="F11" s="53">
        <f t="shared" si="0"/>
        <v>10</v>
      </c>
      <c r="G11" s="51">
        <v>20</v>
      </c>
      <c r="H11" s="51">
        <v>20</v>
      </c>
      <c r="I11" s="51">
        <v>20</v>
      </c>
      <c r="J11" s="51">
        <v>20</v>
      </c>
      <c r="K11" s="53">
        <f t="shared" si="1"/>
        <v>20</v>
      </c>
      <c r="L11" s="50">
        <v>10</v>
      </c>
      <c r="M11" s="50">
        <v>10</v>
      </c>
      <c r="N11" s="50">
        <v>10</v>
      </c>
      <c r="O11" s="53">
        <f t="shared" si="2"/>
        <v>10</v>
      </c>
      <c r="P11" s="51">
        <v>20</v>
      </c>
      <c r="Q11" s="51">
        <v>20</v>
      </c>
      <c r="R11" s="51">
        <v>20</v>
      </c>
      <c r="S11" s="53">
        <f t="shared" si="3"/>
        <v>20</v>
      </c>
      <c r="T11" s="51">
        <v>20</v>
      </c>
      <c r="U11" s="51">
        <v>20</v>
      </c>
      <c r="V11" s="51">
        <v>20</v>
      </c>
      <c r="W11" s="53">
        <f t="shared" si="4"/>
        <v>20</v>
      </c>
      <c r="X11" s="53">
        <f t="shared" si="5"/>
        <v>40</v>
      </c>
      <c r="Y11" s="51">
        <v>20</v>
      </c>
      <c r="Z11" s="53">
        <f t="shared" si="6"/>
        <v>100</v>
      </c>
      <c r="AA11" s="54" t="str">
        <f t="shared" si="7"/>
        <v>APROBADO</v>
      </c>
    </row>
    <row r="12" spans="1:27" ht="12.75" customHeight="1" x14ac:dyDescent="0.2">
      <c r="A12" s="46">
        <v>4</v>
      </c>
      <c r="B12" s="55">
        <f>FILIACIÓN!B10</f>
        <v>0</v>
      </c>
      <c r="C12" s="51">
        <v>10</v>
      </c>
      <c r="D12" s="51">
        <v>10</v>
      </c>
      <c r="E12" s="51">
        <v>10</v>
      </c>
      <c r="F12" s="53">
        <f t="shared" si="0"/>
        <v>10</v>
      </c>
      <c r="G12" s="51">
        <v>20</v>
      </c>
      <c r="H12" s="51">
        <v>20</v>
      </c>
      <c r="I12" s="51">
        <v>20</v>
      </c>
      <c r="J12" s="51">
        <v>20</v>
      </c>
      <c r="K12" s="53">
        <f t="shared" si="1"/>
        <v>20</v>
      </c>
      <c r="L12" s="50">
        <v>10</v>
      </c>
      <c r="M12" s="50">
        <v>10</v>
      </c>
      <c r="N12" s="50">
        <v>10</v>
      </c>
      <c r="O12" s="53">
        <f t="shared" si="2"/>
        <v>10</v>
      </c>
      <c r="P12" s="51">
        <v>20</v>
      </c>
      <c r="Q12" s="51">
        <v>20</v>
      </c>
      <c r="R12" s="51">
        <v>20</v>
      </c>
      <c r="S12" s="53">
        <f t="shared" si="3"/>
        <v>20</v>
      </c>
      <c r="T12" s="51">
        <v>20</v>
      </c>
      <c r="U12" s="51">
        <v>20</v>
      </c>
      <c r="V12" s="51">
        <v>20</v>
      </c>
      <c r="W12" s="53">
        <f t="shared" si="4"/>
        <v>20</v>
      </c>
      <c r="X12" s="53">
        <f t="shared" si="5"/>
        <v>40</v>
      </c>
      <c r="Y12" s="51">
        <v>20</v>
      </c>
      <c r="Z12" s="53">
        <f t="shared" si="6"/>
        <v>100</v>
      </c>
      <c r="AA12" s="54" t="str">
        <f t="shared" si="7"/>
        <v>APROBADO</v>
      </c>
    </row>
    <row r="13" spans="1:27" ht="12.75" customHeight="1" x14ac:dyDescent="0.2">
      <c r="A13" s="46">
        <v>5</v>
      </c>
      <c r="B13" s="55">
        <f>FILIACIÓN!B11</f>
        <v>0</v>
      </c>
      <c r="C13" s="51">
        <v>10</v>
      </c>
      <c r="D13" s="51">
        <v>10</v>
      </c>
      <c r="E13" s="51">
        <v>10</v>
      </c>
      <c r="F13" s="53">
        <f t="shared" si="0"/>
        <v>10</v>
      </c>
      <c r="G13" s="51">
        <v>20</v>
      </c>
      <c r="H13" s="51">
        <v>20</v>
      </c>
      <c r="I13" s="51">
        <v>20</v>
      </c>
      <c r="J13" s="51">
        <v>20</v>
      </c>
      <c r="K13" s="53">
        <f t="shared" si="1"/>
        <v>20</v>
      </c>
      <c r="L13" s="50">
        <v>10</v>
      </c>
      <c r="M13" s="50">
        <v>10</v>
      </c>
      <c r="N13" s="50">
        <v>10</v>
      </c>
      <c r="O13" s="53">
        <f t="shared" si="2"/>
        <v>10</v>
      </c>
      <c r="P13" s="51">
        <v>20</v>
      </c>
      <c r="Q13" s="51">
        <v>20</v>
      </c>
      <c r="R13" s="51">
        <v>20</v>
      </c>
      <c r="S13" s="53">
        <f t="shared" si="3"/>
        <v>20</v>
      </c>
      <c r="T13" s="51">
        <v>20</v>
      </c>
      <c r="U13" s="51">
        <v>20</v>
      </c>
      <c r="V13" s="51">
        <v>20</v>
      </c>
      <c r="W13" s="53">
        <f t="shared" si="4"/>
        <v>20</v>
      </c>
      <c r="X13" s="53">
        <f t="shared" si="5"/>
        <v>40</v>
      </c>
      <c r="Y13" s="51">
        <v>20</v>
      </c>
      <c r="Z13" s="53">
        <f t="shared" si="6"/>
        <v>100</v>
      </c>
      <c r="AA13" s="54" t="str">
        <f t="shared" si="7"/>
        <v>APROBADO</v>
      </c>
    </row>
    <row r="14" spans="1:27" ht="12.75" customHeight="1" x14ac:dyDescent="0.2">
      <c r="A14" s="46">
        <v>6</v>
      </c>
      <c r="B14" s="55">
        <f>FILIACIÓN!B12</f>
        <v>0</v>
      </c>
      <c r="C14" s="51">
        <v>10</v>
      </c>
      <c r="D14" s="51">
        <v>10</v>
      </c>
      <c r="E14" s="51">
        <v>10</v>
      </c>
      <c r="F14" s="53">
        <f t="shared" si="0"/>
        <v>10</v>
      </c>
      <c r="G14" s="51">
        <v>20</v>
      </c>
      <c r="H14" s="51">
        <v>20</v>
      </c>
      <c r="I14" s="51">
        <v>20</v>
      </c>
      <c r="J14" s="51">
        <v>20</v>
      </c>
      <c r="K14" s="53">
        <f t="shared" si="1"/>
        <v>20</v>
      </c>
      <c r="L14" s="50">
        <v>10</v>
      </c>
      <c r="M14" s="50">
        <v>10</v>
      </c>
      <c r="N14" s="50">
        <v>10</v>
      </c>
      <c r="O14" s="53">
        <f t="shared" si="2"/>
        <v>10</v>
      </c>
      <c r="P14" s="51">
        <v>20</v>
      </c>
      <c r="Q14" s="51">
        <v>20</v>
      </c>
      <c r="R14" s="51">
        <v>20</v>
      </c>
      <c r="S14" s="53">
        <f t="shared" si="3"/>
        <v>20</v>
      </c>
      <c r="T14" s="51">
        <v>20</v>
      </c>
      <c r="U14" s="51">
        <v>20</v>
      </c>
      <c r="V14" s="51">
        <v>20</v>
      </c>
      <c r="W14" s="53">
        <f t="shared" si="4"/>
        <v>20</v>
      </c>
      <c r="X14" s="53">
        <f t="shared" si="5"/>
        <v>40</v>
      </c>
      <c r="Y14" s="51">
        <v>20</v>
      </c>
      <c r="Z14" s="53">
        <f t="shared" si="6"/>
        <v>100</v>
      </c>
      <c r="AA14" s="54" t="str">
        <f t="shared" si="7"/>
        <v>APROBADO</v>
      </c>
    </row>
    <row r="15" spans="1:27" ht="12.75" customHeight="1" x14ac:dyDescent="0.2">
      <c r="A15" s="46">
        <v>7</v>
      </c>
      <c r="B15" s="55">
        <f>FILIACIÓN!B13</f>
        <v>0</v>
      </c>
      <c r="C15" s="51">
        <v>10</v>
      </c>
      <c r="D15" s="51">
        <v>10</v>
      </c>
      <c r="E15" s="51">
        <v>10</v>
      </c>
      <c r="F15" s="53">
        <f t="shared" si="0"/>
        <v>10</v>
      </c>
      <c r="G15" s="51">
        <v>20</v>
      </c>
      <c r="H15" s="51">
        <v>20</v>
      </c>
      <c r="I15" s="51">
        <v>20</v>
      </c>
      <c r="J15" s="51">
        <v>20</v>
      </c>
      <c r="K15" s="53">
        <f t="shared" si="1"/>
        <v>20</v>
      </c>
      <c r="L15" s="50">
        <v>10</v>
      </c>
      <c r="M15" s="50">
        <v>10</v>
      </c>
      <c r="N15" s="50">
        <v>10</v>
      </c>
      <c r="O15" s="53">
        <f t="shared" si="2"/>
        <v>10</v>
      </c>
      <c r="P15" s="51">
        <v>20</v>
      </c>
      <c r="Q15" s="51">
        <v>20</v>
      </c>
      <c r="R15" s="51">
        <v>20</v>
      </c>
      <c r="S15" s="53">
        <f t="shared" si="3"/>
        <v>20</v>
      </c>
      <c r="T15" s="51">
        <v>20</v>
      </c>
      <c r="U15" s="51">
        <v>20</v>
      </c>
      <c r="V15" s="51">
        <v>20</v>
      </c>
      <c r="W15" s="53">
        <f t="shared" si="4"/>
        <v>20</v>
      </c>
      <c r="X15" s="53">
        <f t="shared" si="5"/>
        <v>40</v>
      </c>
      <c r="Y15" s="51">
        <v>20</v>
      </c>
      <c r="Z15" s="53">
        <f t="shared" si="6"/>
        <v>100</v>
      </c>
      <c r="AA15" s="54" t="str">
        <f t="shared" si="7"/>
        <v>APROBADO</v>
      </c>
    </row>
    <row r="16" spans="1:27" ht="12.75" customHeight="1" x14ac:dyDescent="0.2">
      <c r="A16" s="46">
        <v>8</v>
      </c>
      <c r="B16" s="55">
        <f>FILIACIÓN!B14</f>
        <v>0</v>
      </c>
      <c r="C16" s="51">
        <v>10</v>
      </c>
      <c r="D16" s="51">
        <v>10</v>
      </c>
      <c r="E16" s="51">
        <v>10</v>
      </c>
      <c r="F16" s="53">
        <f t="shared" si="0"/>
        <v>10</v>
      </c>
      <c r="G16" s="51">
        <v>20</v>
      </c>
      <c r="H16" s="51">
        <v>10</v>
      </c>
      <c r="I16" s="51">
        <v>20</v>
      </c>
      <c r="J16" s="51">
        <v>20</v>
      </c>
      <c r="K16" s="53">
        <f t="shared" si="1"/>
        <v>17.5</v>
      </c>
      <c r="L16" s="50">
        <v>10</v>
      </c>
      <c r="M16" s="50">
        <v>10</v>
      </c>
      <c r="N16" s="50">
        <v>10</v>
      </c>
      <c r="O16" s="53">
        <f t="shared" si="2"/>
        <v>10</v>
      </c>
      <c r="P16" s="51">
        <v>20</v>
      </c>
      <c r="Q16" s="51">
        <v>20</v>
      </c>
      <c r="R16" s="51">
        <v>20</v>
      </c>
      <c r="S16" s="53">
        <f t="shared" si="3"/>
        <v>20</v>
      </c>
      <c r="T16" s="51">
        <v>20</v>
      </c>
      <c r="U16" s="51">
        <v>20</v>
      </c>
      <c r="V16" s="51">
        <v>20</v>
      </c>
      <c r="W16" s="53">
        <f t="shared" si="4"/>
        <v>20</v>
      </c>
      <c r="X16" s="53">
        <f t="shared" si="5"/>
        <v>40</v>
      </c>
      <c r="Y16" s="51">
        <v>20</v>
      </c>
      <c r="Z16" s="53">
        <f t="shared" si="6"/>
        <v>97.5</v>
      </c>
      <c r="AA16" s="54" t="str">
        <f t="shared" si="7"/>
        <v>APROBADO</v>
      </c>
    </row>
    <row r="17" spans="1:27" ht="12.75" customHeight="1" x14ac:dyDescent="0.2">
      <c r="A17" s="46">
        <v>9</v>
      </c>
      <c r="B17" s="55">
        <f>FILIACIÓN!B15</f>
        <v>0</v>
      </c>
      <c r="C17" s="51">
        <v>10</v>
      </c>
      <c r="D17" s="51">
        <v>10</v>
      </c>
      <c r="E17" s="51">
        <v>10</v>
      </c>
      <c r="F17" s="53">
        <f t="shared" si="0"/>
        <v>10</v>
      </c>
      <c r="G17" s="51">
        <v>20</v>
      </c>
      <c r="H17" s="51">
        <v>20</v>
      </c>
      <c r="I17" s="51">
        <v>20</v>
      </c>
      <c r="J17" s="51">
        <v>20</v>
      </c>
      <c r="K17" s="53">
        <f t="shared" si="1"/>
        <v>20</v>
      </c>
      <c r="L17" s="50">
        <v>10</v>
      </c>
      <c r="M17" s="50">
        <v>10</v>
      </c>
      <c r="N17" s="50">
        <v>10</v>
      </c>
      <c r="O17" s="53">
        <f t="shared" si="2"/>
        <v>10</v>
      </c>
      <c r="P17" s="51">
        <v>20</v>
      </c>
      <c r="Q17" s="51">
        <v>20</v>
      </c>
      <c r="R17" s="51">
        <v>20</v>
      </c>
      <c r="S17" s="53">
        <f t="shared" si="3"/>
        <v>20</v>
      </c>
      <c r="T17" s="51">
        <v>20</v>
      </c>
      <c r="U17" s="51">
        <v>20</v>
      </c>
      <c r="V17" s="51">
        <v>20</v>
      </c>
      <c r="W17" s="53">
        <f t="shared" si="4"/>
        <v>20</v>
      </c>
      <c r="X17" s="53">
        <f t="shared" si="5"/>
        <v>40</v>
      </c>
      <c r="Y17" s="51">
        <v>20</v>
      </c>
      <c r="Z17" s="53">
        <f t="shared" si="6"/>
        <v>100</v>
      </c>
      <c r="AA17" s="54" t="str">
        <f t="shared" si="7"/>
        <v>APROBADO</v>
      </c>
    </row>
    <row r="18" spans="1:27" ht="12.75" customHeight="1" x14ac:dyDescent="0.2">
      <c r="A18" s="46">
        <v>10</v>
      </c>
      <c r="B18" s="55">
        <f>FILIACIÓN!B16</f>
        <v>0</v>
      </c>
      <c r="C18" s="51">
        <v>10</v>
      </c>
      <c r="D18" s="51">
        <v>10</v>
      </c>
      <c r="E18" s="51">
        <v>10</v>
      </c>
      <c r="F18" s="53">
        <f t="shared" si="0"/>
        <v>10</v>
      </c>
      <c r="G18" s="51">
        <v>20</v>
      </c>
      <c r="H18" s="51">
        <v>20</v>
      </c>
      <c r="I18" s="51">
        <v>20</v>
      </c>
      <c r="J18" s="51">
        <v>20</v>
      </c>
      <c r="K18" s="53">
        <f t="shared" si="1"/>
        <v>20</v>
      </c>
      <c r="L18" s="50">
        <v>10</v>
      </c>
      <c r="M18" s="50">
        <v>10</v>
      </c>
      <c r="N18" s="50">
        <v>10</v>
      </c>
      <c r="O18" s="53">
        <f t="shared" si="2"/>
        <v>10</v>
      </c>
      <c r="P18" s="51">
        <v>20</v>
      </c>
      <c r="Q18" s="51">
        <v>20</v>
      </c>
      <c r="R18" s="51">
        <v>20</v>
      </c>
      <c r="S18" s="53">
        <f t="shared" si="3"/>
        <v>20</v>
      </c>
      <c r="T18" s="51">
        <v>20</v>
      </c>
      <c r="U18" s="51">
        <v>20</v>
      </c>
      <c r="V18" s="51">
        <v>20</v>
      </c>
      <c r="W18" s="53">
        <f t="shared" si="4"/>
        <v>20</v>
      </c>
      <c r="X18" s="53">
        <f t="shared" si="5"/>
        <v>40</v>
      </c>
      <c r="Y18" s="51">
        <v>20</v>
      </c>
      <c r="Z18" s="53">
        <f t="shared" si="6"/>
        <v>100</v>
      </c>
      <c r="AA18" s="54" t="str">
        <f t="shared" si="7"/>
        <v>APROBADO</v>
      </c>
    </row>
    <row r="19" spans="1:27" ht="12.75" customHeight="1" x14ac:dyDescent="0.2">
      <c r="A19" s="46">
        <v>11</v>
      </c>
      <c r="B19" s="55">
        <f>FILIACIÓN!B17</f>
        <v>0</v>
      </c>
      <c r="C19" s="51">
        <v>10</v>
      </c>
      <c r="D19" s="51">
        <v>10</v>
      </c>
      <c r="E19" s="51">
        <v>10</v>
      </c>
      <c r="F19" s="53">
        <f t="shared" si="0"/>
        <v>10</v>
      </c>
      <c r="G19" s="51">
        <v>20</v>
      </c>
      <c r="H19" s="51">
        <v>20</v>
      </c>
      <c r="I19" s="51">
        <v>20</v>
      </c>
      <c r="J19" s="51">
        <v>20</v>
      </c>
      <c r="K19" s="53">
        <f t="shared" si="1"/>
        <v>20</v>
      </c>
      <c r="L19" s="50">
        <v>10</v>
      </c>
      <c r="M19" s="50">
        <v>10</v>
      </c>
      <c r="N19" s="50">
        <v>10</v>
      </c>
      <c r="O19" s="53">
        <f t="shared" si="2"/>
        <v>10</v>
      </c>
      <c r="P19" s="51">
        <v>20</v>
      </c>
      <c r="Q19" s="51">
        <v>20</v>
      </c>
      <c r="R19" s="51">
        <v>20</v>
      </c>
      <c r="S19" s="53">
        <f t="shared" si="3"/>
        <v>20</v>
      </c>
      <c r="T19" s="51">
        <v>20</v>
      </c>
      <c r="U19" s="51">
        <v>20</v>
      </c>
      <c r="V19" s="51">
        <v>20</v>
      </c>
      <c r="W19" s="53">
        <f t="shared" si="4"/>
        <v>20</v>
      </c>
      <c r="X19" s="53">
        <f t="shared" si="5"/>
        <v>40</v>
      </c>
      <c r="Y19" s="51">
        <v>20</v>
      </c>
      <c r="Z19" s="53">
        <f t="shared" si="6"/>
        <v>100</v>
      </c>
      <c r="AA19" s="54" t="str">
        <f t="shared" si="7"/>
        <v>APROBADO</v>
      </c>
    </row>
    <row r="20" spans="1:27" ht="12.75" customHeight="1" x14ac:dyDescent="0.2">
      <c r="A20" s="46">
        <v>12</v>
      </c>
      <c r="B20" s="55">
        <f>FILIACIÓN!B18</f>
        <v>0</v>
      </c>
      <c r="C20" s="51">
        <v>10</v>
      </c>
      <c r="D20" s="51">
        <v>10</v>
      </c>
      <c r="E20" s="51">
        <v>10</v>
      </c>
      <c r="F20" s="53">
        <f t="shared" si="0"/>
        <v>10</v>
      </c>
      <c r="G20" s="51">
        <v>20</v>
      </c>
      <c r="H20" s="51">
        <v>20</v>
      </c>
      <c r="I20" s="51">
        <v>20</v>
      </c>
      <c r="J20" s="51">
        <v>20</v>
      </c>
      <c r="K20" s="53">
        <f t="shared" si="1"/>
        <v>20</v>
      </c>
      <c r="L20" s="50">
        <v>10</v>
      </c>
      <c r="M20" s="50">
        <v>10</v>
      </c>
      <c r="N20" s="50">
        <v>10</v>
      </c>
      <c r="O20" s="53">
        <f t="shared" si="2"/>
        <v>10</v>
      </c>
      <c r="P20" s="51">
        <v>20</v>
      </c>
      <c r="Q20" s="51">
        <v>20</v>
      </c>
      <c r="R20" s="51">
        <v>20</v>
      </c>
      <c r="S20" s="53">
        <f t="shared" si="3"/>
        <v>20</v>
      </c>
      <c r="T20" s="51">
        <v>20</v>
      </c>
      <c r="U20" s="51">
        <v>20</v>
      </c>
      <c r="V20" s="51">
        <v>20</v>
      </c>
      <c r="W20" s="53">
        <f t="shared" si="4"/>
        <v>20</v>
      </c>
      <c r="X20" s="53">
        <f t="shared" si="5"/>
        <v>40</v>
      </c>
      <c r="Y20" s="51">
        <v>20</v>
      </c>
      <c r="Z20" s="53">
        <f t="shared" si="6"/>
        <v>100</v>
      </c>
      <c r="AA20" s="54" t="str">
        <f t="shared" si="7"/>
        <v>APROBADO</v>
      </c>
    </row>
    <row r="21" spans="1:27" ht="12.75" customHeight="1" x14ac:dyDescent="0.2">
      <c r="A21" s="46">
        <v>13</v>
      </c>
      <c r="B21" s="55">
        <f>FILIACIÓN!B19</f>
        <v>0</v>
      </c>
      <c r="C21" s="51">
        <v>10</v>
      </c>
      <c r="D21" s="51">
        <v>10</v>
      </c>
      <c r="E21" s="51">
        <v>10</v>
      </c>
      <c r="F21" s="53">
        <f t="shared" si="0"/>
        <v>10</v>
      </c>
      <c r="G21" s="51">
        <v>20</v>
      </c>
      <c r="H21" s="51">
        <v>20</v>
      </c>
      <c r="I21" s="51">
        <v>20</v>
      </c>
      <c r="J21" s="51">
        <v>20</v>
      </c>
      <c r="K21" s="53">
        <f t="shared" si="1"/>
        <v>20</v>
      </c>
      <c r="L21" s="50">
        <v>10</v>
      </c>
      <c r="M21" s="50">
        <v>10</v>
      </c>
      <c r="N21" s="50">
        <v>10</v>
      </c>
      <c r="O21" s="53">
        <f t="shared" si="2"/>
        <v>10</v>
      </c>
      <c r="P21" s="51">
        <v>20</v>
      </c>
      <c r="Q21" s="51">
        <v>20</v>
      </c>
      <c r="R21" s="51">
        <v>20</v>
      </c>
      <c r="S21" s="53">
        <f t="shared" si="3"/>
        <v>20</v>
      </c>
      <c r="T21" s="51">
        <v>20</v>
      </c>
      <c r="U21" s="51">
        <v>20</v>
      </c>
      <c r="V21" s="51">
        <v>20</v>
      </c>
      <c r="W21" s="53">
        <f t="shared" si="4"/>
        <v>20</v>
      </c>
      <c r="X21" s="53">
        <f t="shared" si="5"/>
        <v>40</v>
      </c>
      <c r="Y21" s="51">
        <v>20</v>
      </c>
      <c r="Z21" s="53">
        <f t="shared" si="6"/>
        <v>100</v>
      </c>
      <c r="AA21" s="54" t="str">
        <f t="shared" si="7"/>
        <v>APROBADO</v>
      </c>
    </row>
    <row r="22" spans="1:27" ht="12.75" customHeight="1" x14ac:dyDescent="0.2">
      <c r="A22" s="46">
        <v>14</v>
      </c>
      <c r="B22" s="55">
        <f>FILIACIÓN!B20</f>
        <v>0</v>
      </c>
      <c r="C22" s="51">
        <v>10</v>
      </c>
      <c r="D22" s="51">
        <v>10</v>
      </c>
      <c r="E22" s="51">
        <v>10</v>
      </c>
      <c r="F22" s="53">
        <f t="shared" si="0"/>
        <v>10</v>
      </c>
      <c r="G22" s="51">
        <v>20</v>
      </c>
      <c r="H22" s="51">
        <v>20</v>
      </c>
      <c r="I22" s="51">
        <v>20</v>
      </c>
      <c r="J22" s="51">
        <v>20</v>
      </c>
      <c r="K22" s="53">
        <f t="shared" si="1"/>
        <v>20</v>
      </c>
      <c r="L22" s="50">
        <v>10</v>
      </c>
      <c r="M22" s="50">
        <v>10</v>
      </c>
      <c r="N22" s="50">
        <v>10</v>
      </c>
      <c r="O22" s="53">
        <f t="shared" si="2"/>
        <v>10</v>
      </c>
      <c r="P22" s="51">
        <v>20</v>
      </c>
      <c r="Q22" s="51">
        <v>20</v>
      </c>
      <c r="R22" s="51">
        <v>20</v>
      </c>
      <c r="S22" s="53">
        <f t="shared" si="3"/>
        <v>20</v>
      </c>
      <c r="T22" s="51">
        <v>20</v>
      </c>
      <c r="U22" s="51">
        <v>20</v>
      </c>
      <c r="V22" s="51">
        <v>20</v>
      </c>
      <c r="W22" s="53">
        <f t="shared" si="4"/>
        <v>20</v>
      </c>
      <c r="X22" s="53">
        <f t="shared" si="5"/>
        <v>40</v>
      </c>
      <c r="Y22" s="51">
        <v>20</v>
      </c>
      <c r="Z22" s="53">
        <f t="shared" si="6"/>
        <v>100</v>
      </c>
      <c r="AA22" s="54" t="str">
        <f t="shared" si="7"/>
        <v>APROBADO</v>
      </c>
    </row>
    <row r="23" spans="1:27" ht="12.75" customHeight="1" x14ac:dyDescent="0.2">
      <c r="A23" s="46">
        <v>15</v>
      </c>
      <c r="B23" s="55">
        <f>FILIACIÓN!B21</f>
        <v>0</v>
      </c>
      <c r="C23" s="51">
        <v>10</v>
      </c>
      <c r="D23" s="51">
        <v>10</v>
      </c>
      <c r="E23" s="51">
        <v>10</v>
      </c>
      <c r="F23" s="53">
        <f t="shared" si="0"/>
        <v>10</v>
      </c>
      <c r="G23" s="51">
        <v>20</v>
      </c>
      <c r="H23" s="51">
        <v>20</v>
      </c>
      <c r="I23" s="51">
        <v>20</v>
      </c>
      <c r="J23" s="51">
        <v>20</v>
      </c>
      <c r="K23" s="53">
        <f t="shared" si="1"/>
        <v>20</v>
      </c>
      <c r="L23" s="50">
        <v>10</v>
      </c>
      <c r="M23" s="50">
        <v>10</v>
      </c>
      <c r="N23" s="50">
        <v>10</v>
      </c>
      <c r="O23" s="53">
        <f t="shared" si="2"/>
        <v>10</v>
      </c>
      <c r="P23" s="51">
        <v>20</v>
      </c>
      <c r="Q23" s="51">
        <v>20</v>
      </c>
      <c r="R23" s="51">
        <v>20</v>
      </c>
      <c r="S23" s="53">
        <f t="shared" si="3"/>
        <v>20</v>
      </c>
      <c r="T23" s="51">
        <v>20</v>
      </c>
      <c r="U23" s="51">
        <v>20</v>
      </c>
      <c r="V23" s="51">
        <v>20</v>
      </c>
      <c r="W23" s="53">
        <f t="shared" si="4"/>
        <v>20</v>
      </c>
      <c r="X23" s="53">
        <f t="shared" si="5"/>
        <v>40</v>
      </c>
      <c r="Y23" s="51">
        <v>20</v>
      </c>
      <c r="Z23" s="53">
        <f t="shared" si="6"/>
        <v>100</v>
      </c>
      <c r="AA23" s="54" t="str">
        <f t="shared" si="7"/>
        <v>APROBADO</v>
      </c>
    </row>
    <row r="24" spans="1:27" ht="12.75" customHeight="1" x14ac:dyDescent="0.2">
      <c r="A24" s="46">
        <v>16</v>
      </c>
      <c r="B24" s="55">
        <f>FILIACIÓN!B22</f>
        <v>0</v>
      </c>
      <c r="C24" s="51">
        <v>10</v>
      </c>
      <c r="D24" s="51">
        <v>10</v>
      </c>
      <c r="E24" s="51">
        <v>10</v>
      </c>
      <c r="F24" s="53">
        <f t="shared" si="0"/>
        <v>10</v>
      </c>
      <c r="G24" s="51">
        <v>20</v>
      </c>
      <c r="H24" s="51">
        <v>20</v>
      </c>
      <c r="I24" s="51">
        <v>20</v>
      </c>
      <c r="J24" s="51">
        <v>20</v>
      </c>
      <c r="K24" s="53">
        <f t="shared" si="1"/>
        <v>20</v>
      </c>
      <c r="L24" s="50">
        <v>10</v>
      </c>
      <c r="M24" s="50">
        <v>10</v>
      </c>
      <c r="N24" s="50">
        <v>10</v>
      </c>
      <c r="O24" s="53">
        <f t="shared" si="2"/>
        <v>10</v>
      </c>
      <c r="P24" s="51">
        <v>20</v>
      </c>
      <c r="Q24" s="51">
        <v>20</v>
      </c>
      <c r="R24" s="51">
        <v>20</v>
      </c>
      <c r="S24" s="53">
        <f t="shared" si="3"/>
        <v>20</v>
      </c>
      <c r="T24" s="51">
        <v>20</v>
      </c>
      <c r="U24" s="51">
        <v>20</v>
      </c>
      <c r="V24" s="51">
        <v>20</v>
      </c>
      <c r="W24" s="53">
        <f t="shared" si="4"/>
        <v>20</v>
      </c>
      <c r="X24" s="53">
        <f t="shared" si="5"/>
        <v>40</v>
      </c>
      <c r="Y24" s="51">
        <v>20</v>
      </c>
      <c r="Z24" s="53">
        <f t="shared" si="6"/>
        <v>100</v>
      </c>
      <c r="AA24" s="54" t="str">
        <f t="shared" si="7"/>
        <v>APROBADO</v>
      </c>
    </row>
    <row r="25" spans="1:27" ht="12.75" customHeight="1" x14ac:dyDescent="0.2">
      <c r="A25" s="46">
        <v>17</v>
      </c>
      <c r="B25" s="55">
        <f>FILIACIÓN!B23</f>
        <v>0</v>
      </c>
      <c r="C25" s="51">
        <v>10</v>
      </c>
      <c r="D25" s="51">
        <v>10</v>
      </c>
      <c r="E25" s="51">
        <v>10</v>
      </c>
      <c r="F25" s="53">
        <f t="shared" si="0"/>
        <v>10</v>
      </c>
      <c r="G25" s="51">
        <v>20</v>
      </c>
      <c r="H25" s="51">
        <v>20</v>
      </c>
      <c r="I25" s="51">
        <v>20</v>
      </c>
      <c r="J25" s="51">
        <v>20</v>
      </c>
      <c r="K25" s="53">
        <f t="shared" si="1"/>
        <v>20</v>
      </c>
      <c r="L25" s="50">
        <v>10</v>
      </c>
      <c r="M25" s="50">
        <v>10</v>
      </c>
      <c r="N25" s="50">
        <v>10</v>
      </c>
      <c r="O25" s="53">
        <f t="shared" si="2"/>
        <v>10</v>
      </c>
      <c r="P25" s="51">
        <v>20</v>
      </c>
      <c r="Q25" s="51">
        <v>20</v>
      </c>
      <c r="R25" s="51">
        <v>20</v>
      </c>
      <c r="S25" s="53">
        <f t="shared" si="3"/>
        <v>20</v>
      </c>
      <c r="T25" s="51">
        <v>20</v>
      </c>
      <c r="U25" s="51">
        <v>20</v>
      </c>
      <c r="V25" s="51">
        <v>20</v>
      </c>
      <c r="W25" s="53">
        <f t="shared" si="4"/>
        <v>20</v>
      </c>
      <c r="X25" s="53">
        <f t="shared" si="5"/>
        <v>40</v>
      </c>
      <c r="Y25" s="51">
        <v>20</v>
      </c>
      <c r="Z25" s="53">
        <f t="shared" si="6"/>
        <v>100</v>
      </c>
      <c r="AA25" s="54" t="str">
        <f t="shared" si="7"/>
        <v>APROBADO</v>
      </c>
    </row>
    <row r="26" spans="1:27" ht="12.75" customHeight="1" x14ac:dyDescent="0.2">
      <c r="A26" s="46">
        <v>18</v>
      </c>
      <c r="B26" s="55">
        <f>FILIACIÓN!B24</f>
        <v>0</v>
      </c>
      <c r="C26" s="51">
        <v>10</v>
      </c>
      <c r="D26" s="51">
        <v>10</v>
      </c>
      <c r="E26" s="51">
        <v>10</v>
      </c>
      <c r="F26" s="53">
        <f t="shared" si="0"/>
        <v>10</v>
      </c>
      <c r="G26" s="51">
        <v>20</v>
      </c>
      <c r="H26" s="51">
        <v>20</v>
      </c>
      <c r="I26" s="51">
        <v>20</v>
      </c>
      <c r="J26" s="51">
        <v>20</v>
      </c>
      <c r="K26" s="53">
        <f t="shared" si="1"/>
        <v>20</v>
      </c>
      <c r="L26" s="50">
        <v>10</v>
      </c>
      <c r="M26" s="50">
        <v>10</v>
      </c>
      <c r="N26" s="50">
        <v>10</v>
      </c>
      <c r="O26" s="53">
        <f t="shared" si="2"/>
        <v>10</v>
      </c>
      <c r="P26" s="51">
        <v>20</v>
      </c>
      <c r="Q26" s="51">
        <v>20</v>
      </c>
      <c r="R26" s="51">
        <v>20</v>
      </c>
      <c r="S26" s="53">
        <f t="shared" si="3"/>
        <v>20</v>
      </c>
      <c r="T26" s="51">
        <v>20</v>
      </c>
      <c r="U26" s="51">
        <v>20</v>
      </c>
      <c r="V26" s="51">
        <v>20</v>
      </c>
      <c r="W26" s="53">
        <f t="shared" si="4"/>
        <v>20</v>
      </c>
      <c r="X26" s="53">
        <f t="shared" si="5"/>
        <v>40</v>
      </c>
      <c r="Y26" s="51">
        <v>20</v>
      </c>
      <c r="Z26" s="53">
        <f t="shared" si="6"/>
        <v>100</v>
      </c>
      <c r="AA26" s="54" t="str">
        <f t="shared" si="7"/>
        <v>APROBADO</v>
      </c>
    </row>
    <row r="27" spans="1:27" ht="12.75" customHeight="1" x14ac:dyDescent="0.2">
      <c r="A27" s="46">
        <v>19</v>
      </c>
      <c r="B27" s="55">
        <f>FILIACIÓN!B25</f>
        <v>0</v>
      </c>
      <c r="C27" s="51">
        <v>10</v>
      </c>
      <c r="D27" s="51">
        <v>10</v>
      </c>
      <c r="E27" s="51">
        <v>10</v>
      </c>
      <c r="F27" s="53">
        <f t="shared" si="0"/>
        <v>10</v>
      </c>
      <c r="G27" s="51">
        <v>20</v>
      </c>
      <c r="H27" s="51">
        <v>20</v>
      </c>
      <c r="I27" s="51">
        <v>20</v>
      </c>
      <c r="J27" s="51">
        <v>20</v>
      </c>
      <c r="K27" s="53">
        <f t="shared" si="1"/>
        <v>20</v>
      </c>
      <c r="L27" s="50">
        <v>10</v>
      </c>
      <c r="M27" s="50">
        <v>10</v>
      </c>
      <c r="N27" s="50">
        <v>10</v>
      </c>
      <c r="O27" s="53">
        <f t="shared" si="2"/>
        <v>10</v>
      </c>
      <c r="P27" s="51">
        <v>20</v>
      </c>
      <c r="Q27" s="51">
        <v>20</v>
      </c>
      <c r="R27" s="51">
        <v>20</v>
      </c>
      <c r="S27" s="53">
        <f t="shared" si="3"/>
        <v>20</v>
      </c>
      <c r="T27" s="51">
        <v>20</v>
      </c>
      <c r="U27" s="51">
        <v>20</v>
      </c>
      <c r="V27" s="51">
        <v>20</v>
      </c>
      <c r="W27" s="53">
        <f t="shared" si="4"/>
        <v>20</v>
      </c>
      <c r="X27" s="53">
        <f t="shared" si="5"/>
        <v>40</v>
      </c>
      <c r="Y27" s="51">
        <v>20</v>
      </c>
      <c r="Z27" s="53">
        <f t="shared" si="6"/>
        <v>100</v>
      </c>
      <c r="AA27" s="54" t="str">
        <f t="shared" si="7"/>
        <v>APROBADO</v>
      </c>
    </row>
    <row r="28" spans="1:27" ht="12.75" customHeight="1" x14ac:dyDescent="0.2">
      <c r="A28" s="46">
        <v>20</v>
      </c>
      <c r="B28" s="55">
        <f>FILIACIÓN!B26</f>
        <v>0</v>
      </c>
      <c r="C28" s="51">
        <v>10</v>
      </c>
      <c r="D28" s="51">
        <v>10</v>
      </c>
      <c r="E28" s="51">
        <v>10</v>
      </c>
      <c r="F28" s="53">
        <f t="shared" si="0"/>
        <v>10</v>
      </c>
      <c r="G28" s="51">
        <v>20</v>
      </c>
      <c r="H28" s="51">
        <v>20</v>
      </c>
      <c r="I28" s="51">
        <v>20</v>
      </c>
      <c r="J28" s="51">
        <v>20</v>
      </c>
      <c r="K28" s="53">
        <f t="shared" si="1"/>
        <v>20</v>
      </c>
      <c r="L28" s="50">
        <v>10</v>
      </c>
      <c r="M28" s="50">
        <v>10</v>
      </c>
      <c r="N28" s="50">
        <v>10</v>
      </c>
      <c r="O28" s="53">
        <f t="shared" si="2"/>
        <v>10</v>
      </c>
      <c r="P28" s="51">
        <v>20</v>
      </c>
      <c r="Q28" s="51">
        <v>20</v>
      </c>
      <c r="R28" s="51">
        <v>20</v>
      </c>
      <c r="S28" s="53">
        <f t="shared" si="3"/>
        <v>20</v>
      </c>
      <c r="T28" s="51">
        <v>20</v>
      </c>
      <c r="U28" s="51">
        <v>20</v>
      </c>
      <c r="V28" s="51">
        <v>20</v>
      </c>
      <c r="W28" s="53">
        <f t="shared" si="4"/>
        <v>20</v>
      </c>
      <c r="X28" s="53">
        <f t="shared" si="5"/>
        <v>40</v>
      </c>
      <c r="Y28" s="51">
        <v>20</v>
      </c>
      <c r="Z28" s="53">
        <f t="shared" si="6"/>
        <v>100</v>
      </c>
      <c r="AA28" s="54" t="str">
        <f t="shared" si="7"/>
        <v>APROBADO</v>
      </c>
    </row>
    <row r="29" spans="1:27" ht="12.75" customHeight="1" x14ac:dyDescent="0.2">
      <c r="A29" s="46">
        <v>21</v>
      </c>
      <c r="B29" s="55">
        <f>FILIACIÓN!B27</f>
        <v>0</v>
      </c>
      <c r="C29" s="51"/>
      <c r="D29" s="51"/>
      <c r="E29" s="51"/>
      <c r="F29" s="53" t="str">
        <f t="shared" si="0"/>
        <v/>
      </c>
      <c r="G29" s="51">
        <v>20</v>
      </c>
      <c r="H29" s="51">
        <v>20</v>
      </c>
      <c r="I29" s="51">
        <v>20</v>
      </c>
      <c r="J29" s="51">
        <v>20</v>
      </c>
      <c r="K29" s="53">
        <f t="shared" si="1"/>
        <v>20</v>
      </c>
      <c r="L29" s="50">
        <v>10</v>
      </c>
      <c r="M29" s="50">
        <v>10</v>
      </c>
      <c r="N29" s="50">
        <v>10</v>
      </c>
      <c r="O29" s="53">
        <f t="shared" si="2"/>
        <v>10</v>
      </c>
      <c r="P29" s="51">
        <v>20</v>
      </c>
      <c r="Q29" s="51">
        <v>20</v>
      </c>
      <c r="R29" s="51">
        <v>20</v>
      </c>
      <c r="S29" s="53">
        <f t="shared" si="3"/>
        <v>20</v>
      </c>
      <c r="T29" s="51">
        <v>20</v>
      </c>
      <c r="U29" s="51">
        <v>20</v>
      </c>
      <c r="V29" s="51">
        <v>20</v>
      </c>
      <c r="W29" s="53">
        <f t="shared" si="4"/>
        <v>20</v>
      </c>
      <c r="X29" s="53">
        <f t="shared" si="5"/>
        <v>40</v>
      </c>
      <c r="Y29" s="51">
        <v>20</v>
      </c>
      <c r="Z29" s="53">
        <f t="shared" si="6"/>
        <v>90</v>
      </c>
      <c r="AA29" s="54" t="str">
        <f t="shared" si="7"/>
        <v>APROBADO</v>
      </c>
    </row>
    <row r="30" spans="1:27" ht="12.75" customHeight="1" x14ac:dyDescent="0.2">
      <c r="A30" s="46">
        <v>22</v>
      </c>
      <c r="B30" s="55">
        <f>FILIACIÓN!B28</f>
        <v>0</v>
      </c>
      <c r="C30" s="51">
        <v>10</v>
      </c>
      <c r="D30" s="51">
        <v>10</v>
      </c>
      <c r="E30" s="51">
        <v>10</v>
      </c>
      <c r="F30" s="53">
        <f t="shared" si="0"/>
        <v>10</v>
      </c>
      <c r="G30" s="51">
        <v>20</v>
      </c>
      <c r="H30" s="51">
        <v>20</v>
      </c>
      <c r="I30" s="51">
        <v>20</v>
      </c>
      <c r="J30" s="51">
        <v>20</v>
      </c>
      <c r="K30" s="53">
        <f t="shared" si="1"/>
        <v>20</v>
      </c>
      <c r="L30" s="50">
        <v>10</v>
      </c>
      <c r="M30" s="50">
        <v>10</v>
      </c>
      <c r="N30" s="50">
        <v>10</v>
      </c>
      <c r="O30" s="53">
        <f t="shared" si="2"/>
        <v>10</v>
      </c>
      <c r="P30" s="51">
        <v>20</v>
      </c>
      <c r="Q30" s="51">
        <v>20</v>
      </c>
      <c r="R30" s="51">
        <v>20</v>
      </c>
      <c r="S30" s="53">
        <f t="shared" si="3"/>
        <v>20</v>
      </c>
      <c r="T30" s="51">
        <v>20</v>
      </c>
      <c r="U30" s="51">
        <v>20</v>
      </c>
      <c r="V30" s="51">
        <v>20</v>
      </c>
      <c r="W30" s="53">
        <f t="shared" si="4"/>
        <v>20</v>
      </c>
      <c r="X30" s="53">
        <f t="shared" si="5"/>
        <v>40</v>
      </c>
      <c r="Y30" s="51">
        <v>20</v>
      </c>
      <c r="Z30" s="53">
        <f t="shared" si="6"/>
        <v>100</v>
      </c>
      <c r="AA30" s="54" t="str">
        <f t="shared" si="7"/>
        <v>APROBADO</v>
      </c>
    </row>
    <row r="31" spans="1:27" ht="12.75" customHeight="1" x14ac:dyDescent="0.2">
      <c r="A31" s="46">
        <v>23</v>
      </c>
      <c r="B31" s="55">
        <f>FILIACIÓN!B29</f>
        <v>0</v>
      </c>
      <c r="C31" s="51">
        <v>10</v>
      </c>
      <c r="D31" s="51">
        <v>10</v>
      </c>
      <c r="E31" s="51">
        <v>10</v>
      </c>
      <c r="F31" s="53">
        <f t="shared" si="0"/>
        <v>10</v>
      </c>
      <c r="G31" s="51">
        <v>20</v>
      </c>
      <c r="H31" s="51">
        <v>20</v>
      </c>
      <c r="I31" s="51">
        <v>20</v>
      </c>
      <c r="J31" s="51">
        <v>20</v>
      </c>
      <c r="K31" s="53">
        <f t="shared" si="1"/>
        <v>20</v>
      </c>
      <c r="L31" s="50">
        <v>10</v>
      </c>
      <c r="M31" s="50">
        <v>10</v>
      </c>
      <c r="N31" s="50">
        <v>10</v>
      </c>
      <c r="O31" s="53">
        <f t="shared" si="2"/>
        <v>10</v>
      </c>
      <c r="P31" s="51">
        <v>20</v>
      </c>
      <c r="Q31" s="51">
        <v>20</v>
      </c>
      <c r="R31" s="51">
        <v>20</v>
      </c>
      <c r="S31" s="53">
        <f t="shared" si="3"/>
        <v>20</v>
      </c>
      <c r="T31" s="51">
        <v>20</v>
      </c>
      <c r="U31" s="51">
        <v>20</v>
      </c>
      <c r="V31" s="51">
        <v>20</v>
      </c>
      <c r="W31" s="53">
        <f t="shared" si="4"/>
        <v>20</v>
      </c>
      <c r="X31" s="53">
        <f t="shared" si="5"/>
        <v>40</v>
      </c>
      <c r="Y31" s="51">
        <v>20</v>
      </c>
      <c r="Z31" s="53">
        <f t="shared" si="6"/>
        <v>100</v>
      </c>
      <c r="AA31" s="54" t="str">
        <f t="shared" si="7"/>
        <v>APROBADO</v>
      </c>
    </row>
    <row r="32" spans="1:27" ht="12.75" customHeight="1" x14ac:dyDescent="0.2">
      <c r="A32" s="46">
        <v>24</v>
      </c>
      <c r="B32" s="55">
        <f>FILIACIÓN!B30</f>
        <v>0</v>
      </c>
      <c r="C32" s="51">
        <v>10</v>
      </c>
      <c r="D32" s="51">
        <v>10</v>
      </c>
      <c r="E32" s="51">
        <v>10</v>
      </c>
      <c r="F32" s="53">
        <f t="shared" si="0"/>
        <v>10</v>
      </c>
      <c r="G32" s="51">
        <v>20</v>
      </c>
      <c r="H32" s="51">
        <v>20</v>
      </c>
      <c r="I32" s="51">
        <v>20</v>
      </c>
      <c r="J32" s="51">
        <v>20</v>
      </c>
      <c r="K32" s="53">
        <f t="shared" si="1"/>
        <v>20</v>
      </c>
      <c r="L32" s="50">
        <v>10</v>
      </c>
      <c r="M32" s="50">
        <v>10</v>
      </c>
      <c r="N32" s="50">
        <v>10</v>
      </c>
      <c r="O32" s="53">
        <f t="shared" si="2"/>
        <v>10</v>
      </c>
      <c r="P32" s="51">
        <v>20</v>
      </c>
      <c r="Q32" s="51">
        <v>20</v>
      </c>
      <c r="R32" s="51">
        <v>20</v>
      </c>
      <c r="S32" s="53">
        <f t="shared" si="3"/>
        <v>20</v>
      </c>
      <c r="T32" s="51">
        <v>20</v>
      </c>
      <c r="U32" s="51">
        <v>20</v>
      </c>
      <c r="V32" s="51">
        <v>20</v>
      </c>
      <c r="W32" s="53">
        <f t="shared" si="4"/>
        <v>20</v>
      </c>
      <c r="X32" s="53">
        <f t="shared" si="5"/>
        <v>40</v>
      </c>
      <c r="Y32" s="51">
        <v>20</v>
      </c>
      <c r="Z32" s="53">
        <f t="shared" si="6"/>
        <v>100</v>
      </c>
      <c r="AA32" s="54" t="str">
        <f t="shared" si="7"/>
        <v>APROBADO</v>
      </c>
    </row>
    <row r="33" spans="1:27" ht="12.75" customHeight="1" x14ac:dyDescent="0.2">
      <c r="A33" s="46">
        <v>25</v>
      </c>
      <c r="B33" s="55">
        <f>FILIACIÓN!B31</f>
        <v>0</v>
      </c>
      <c r="C33" s="51">
        <v>10</v>
      </c>
      <c r="D33" s="51">
        <v>10</v>
      </c>
      <c r="E33" s="51">
        <v>10</v>
      </c>
      <c r="F33" s="53">
        <f t="shared" si="0"/>
        <v>10</v>
      </c>
      <c r="G33" s="51">
        <v>20</v>
      </c>
      <c r="H33" s="51">
        <v>20</v>
      </c>
      <c r="I33" s="51">
        <v>20</v>
      </c>
      <c r="J33" s="51">
        <v>20</v>
      </c>
      <c r="K33" s="53">
        <f t="shared" si="1"/>
        <v>20</v>
      </c>
      <c r="L33" s="50">
        <v>10</v>
      </c>
      <c r="M33" s="50">
        <v>10</v>
      </c>
      <c r="N33" s="50">
        <v>10</v>
      </c>
      <c r="O33" s="53">
        <f t="shared" si="2"/>
        <v>10</v>
      </c>
      <c r="P33" s="51">
        <v>20</v>
      </c>
      <c r="Q33" s="51">
        <v>20</v>
      </c>
      <c r="R33" s="51">
        <v>20</v>
      </c>
      <c r="S33" s="53">
        <f t="shared" si="3"/>
        <v>20</v>
      </c>
      <c r="T33" s="51">
        <v>20</v>
      </c>
      <c r="U33" s="51">
        <v>20</v>
      </c>
      <c r="V33" s="51">
        <v>20</v>
      </c>
      <c r="W33" s="53">
        <f t="shared" si="4"/>
        <v>20</v>
      </c>
      <c r="X33" s="53">
        <f t="shared" si="5"/>
        <v>40</v>
      </c>
      <c r="Y33" s="51">
        <v>20</v>
      </c>
      <c r="Z33" s="53">
        <f t="shared" si="6"/>
        <v>100</v>
      </c>
      <c r="AA33" s="54" t="str">
        <f t="shared" si="7"/>
        <v>APROBADO</v>
      </c>
    </row>
    <row r="34" spans="1:27" ht="12.75" customHeight="1" x14ac:dyDescent="0.2">
      <c r="A34" s="46">
        <v>26</v>
      </c>
      <c r="B34" s="55">
        <f>FILIACIÓN!B32</f>
        <v>0</v>
      </c>
      <c r="C34" s="51">
        <v>10</v>
      </c>
      <c r="D34" s="51">
        <v>10</v>
      </c>
      <c r="E34" s="51">
        <v>10</v>
      </c>
      <c r="F34" s="53">
        <f t="shared" si="0"/>
        <v>10</v>
      </c>
      <c r="G34" s="51">
        <v>20</v>
      </c>
      <c r="H34" s="51">
        <v>20</v>
      </c>
      <c r="I34" s="51">
        <v>20</v>
      </c>
      <c r="J34" s="51">
        <v>20</v>
      </c>
      <c r="K34" s="53">
        <f t="shared" si="1"/>
        <v>20</v>
      </c>
      <c r="L34" s="50">
        <v>10</v>
      </c>
      <c r="M34" s="50">
        <v>10</v>
      </c>
      <c r="N34" s="50">
        <v>10</v>
      </c>
      <c r="O34" s="53">
        <f t="shared" si="2"/>
        <v>10</v>
      </c>
      <c r="P34" s="51">
        <v>20</v>
      </c>
      <c r="Q34" s="51">
        <v>20</v>
      </c>
      <c r="R34" s="51">
        <v>20</v>
      </c>
      <c r="S34" s="53">
        <f t="shared" si="3"/>
        <v>20</v>
      </c>
      <c r="T34" s="51">
        <v>20</v>
      </c>
      <c r="U34" s="51">
        <v>20</v>
      </c>
      <c r="V34" s="51">
        <v>20</v>
      </c>
      <c r="W34" s="53">
        <f t="shared" si="4"/>
        <v>20</v>
      </c>
      <c r="X34" s="53">
        <f t="shared" si="5"/>
        <v>40</v>
      </c>
      <c r="Y34" s="51">
        <v>20</v>
      </c>
      <c r="Z34" s="53">
        <f t="shared" si="6"/>
        <v>100</v>
      </c>
      <c r="AA34" s="54" t="str">
        <f t="shared" si="7"/>
        <v>APROBADO</v>
      </c>
    </row>
    <row r="35" spans="1:27" ht="12.75" customHeight="1" x14ac:dyDescent="0.2">
      <c r="A35" s="46">
        <v>27</v>
      </c>
      <c r="B35" s="55">
        <f>FILIACIÓN!B33</f>
        <v>0</v>
      </c>
      <c r="C35" s="51">
        <v>10</v>
      </c>
      <c r="D35" s="51">
        <v>10</v>
      </c>
      <c r="E35" s="51">
        <v>10</v>
      </c>
      <c r="F35" s="53">
        <f t="shared" si="0"/>
        <v>10</v>
      </c>
      <c r="G35" s="51">
        <v>20</v>
      </c>
      <c r="H35" s="51">
        <v>20</v>
      </c>
      <c r="I35" s="51">
        <v>20</v>
      </c>
      <c r="J35" s="51">
        <v>20</v>
      </c>
      <c r="K35" s="53">
        <f t="shared" si="1"/>
        <v>20</v>
      </c>
      <c r="L35" s="50">
        <v>10</v>
      </c>
      <c r="M35" s="50">
        <v>10</v>
      </c>
      <c r="N35" s="50">
        <v>10</v>
      </c>
      <c r="O35" s="53">
        <f t="shared" si="2"/>
        <v>10</v>
      </c>
      <c r="P35" s="51">
        <v>20</v>
      </c>
      <c r="Q35" s="51">
        <v>20</v>
      </c>
      <c r="R35" s="51">
        <v>20</v>
      </c>
      <c r="S35" s="53">
        <f t="shared" si="3"/>
        <v>20</v>
      </c>
      <c r="T35" s="51">
        <v>20</v>
      </c>
      <c r="U35" s="51">
        <v>20</v>
      </c>
      <c r="V35" s="51">
        <v>20</v>
      </c>
      <c r="W35" s="53">
        <f t="shared" si="4"/>
        <v>20</v>
      </c>
      <c r="X35" s="53">
        <f t="shared" si="5"/>
        <v>40</v>
      </c>
      <c r="Y35" s="51">
        <v>20</v>
      </c>
      <c r="Z35" s="53">
        <f t="shared" si="6"/>
        <v>100</v>
      </c>
      <c r="AA35" s="54" t="str">
        <f t="shared" si="7"/>
        <v>APROBADO</v>
      </c>
    </row>
    <row r="36" spans="1:27" ht="12.75" customHeight="1" x14ac:dyDescent="0.2">
      <c r="A36" s="46">
        <v>28</v>
      </c>
      <c r="B36" s="55">
        <f>FILIACIÓN!B34</f>
        <v>0</v>
      </c>
      <c r="C36" s="51">
        <v>10</v>
      </c>
      <c r="D36" s="51">
        <v>10</v>
      </c>
      <c r="E36" s="51">
        <v>10</v>
      </c>
      <c r="F36" s="53">
        <f t="shared" si="0"/>
        <v>10</v>
      </c>
      <c r="G36" s="51">
        <v>20</v>
      </c>
      <c r="H36" s="51">
        <v>20</v>
      </c>
      <c r="I36" s="51">
        <v>20</v>
      </c>
      <c r="J36" s="51">
        <v>20</v>
      </c>
      <c r="K36" s="53">
        <f t="shared" si="1"/>
        <v>20</v>
      </c>
      <c r="L36" s="50">
        <v>10</v>
      </c>
      <c r="M36" s="50">
        <v>10</v>
      </c>
      <c r="N36" s="50">
        <v>10</v>
      </c>
      <c r="O36" s="53">
        <f t="shared" si="2"/>
        <v>10</v>
      </c>
      <c r="P36" s="51">
        <v>20</v>
      </c>
      <c r="Q36" s="51">
        <v>20</v>
      </c>
      <c r="R36" s="51">
        <v>20</v>
      </c>
      <c r="S36" s="53">
        <f t="shared" si="3"/>
        <v>20</v>
      </c>
      <c r="T36" s="51">
        <v>20</v>
      </c>
      <c r="U36" s="51">
        <v>20</v>
      </c>
      <c r="V36" s="51">
        <v>20</v>
      </c>
      <c r="W36" s="53">
        <f t="shared" si="4"/>
        <v>20</v>
      </c>
      <c r="X36" s="53">
        <f t="shared" si="5"/>
        <v>40</v>
      </c>
      <c r="Y36" s="51">
        <v>20</v>
      </c>
      <c r="Z36" s="53">
        <f t="shared" si="6"/>
        <v>100</v>
      </c>
      <c r="AA36" s="54" t="str">
        <f t="shared" si="7"/>
        <v>APROBADO</v>
      </c>
    </row>
    <row r="37" spans="1:27" ht="12.75" customHeight="1" x14ac:dyDescent="0.2">
      <c r="A37" s="46">
        <v>29</v>
      </c>
      <c r="B37" s="55">
        <f>FILIACIÓN!B35</f>
        <v>0</v>
      </c>
      <c r="C37" s="51">
        <v>10</v>
      </c>
      <c r="D37" s="51">
        <v>10</v>
      </c>
      <c r="E37" s="51">
        <v>10</v>
      </c>
      <c r="F37" s="53">
        <f t="shared" si="0"/>
        <v>10</v>
      </c>
      <c r="G37" s="51">
        <v>20</v>
      </c>
      <c r="H37" s="51">
        <v>20</v>
      </c>
      <c r="I37" s="51">
        <v>20</v>
      </c>
      <c r="J37" s="51">
        <v>20</v>
      </c>
      <c r="K37" s="53">
        <f t="shared" si="1"/>
        <v>20</v>
      </c>
      <c r="L37" s="50">
        <v>10</v>
      </c>
      <c r="M37" s="50">
        <v>10</v>
      </c>
      <c r="N37" s="50">
        <v>10</v>
      </c>
      <c r="O37" s="53">
        <f t="shared" si="2"/>
        <v>10</v>
      </c>
      <c r="P37" s="51">
        <v>20</v>
      </c>
      <c r="Q37" s="51">
        <v>20</v>
      </c>
      <c r="R37" s="51">
        <v>20</v>
      </c>
      <c r="S37" s="53">
        <f t="shared" si="3"/>
        <v>20</v>
      </c>
      <c r="T37" s="51">
        <v>20</v>
      </c>
      <c r="U37" s="51">
        <v>20</v>
      </c>
      <c r="V37" s="51">
        <v>20</v>
      </c>
      <c r="W37" s="53">
        <f t="shared" si="4"/>
        <v>20</v>
      </c>
      <c r="X37" s="53">
        <f t="shared" si="5"/>
        <v>40</v>
      </c>
      <c r="Y37" s="51">
        <v>20</v>
      </c>
      <c r="Z37" s="53">
        <f t="shared" si="6"/>
        <v>100</v>
      </c>
      <c r="AA37" s="54" t="str">
        <f t="shared" si="7"/>
        <v>APROBADO</v>
      </c>
    </row>
    <row r="38" spans="1:27" ht="12.75" customHeight="1" x14ac:dyDescent="0.2">
      <c r="A38" s="46">
        <v>30</v>
      </c>
      <c r="B38" s="55">
        <f>FILIACIÓN!B36</f>
        <v>0</v>
      </c>
      <c r="C38" s="51">
        <v>10</v>
      </c>
      <c r="D38" s="51">
        <v>10</v>
      </c>
      <c r="E38" s="51">
        <v>10</v>
      </c>
      <c r="F38" s="53">
        <f t="shared" si="0"/>
        <v>10</v>
      </c>
      <c r="G38" s="51">
        <v>20</v>
      </c>
      <c r="H38" s="51">
        <v>20</v>
      </c>
      <c r="I38" s="51">
        <v>20</v>
      </c>
      <c r="J38" s="51">
        <v>20</v>
      </c>
      <c r="K38" s="53">
        <f t="shared" si="1"/>
        <v>20</v>
      </c>
      <c r="L38" s="50">
        <v>10</v>
      </c>
      <c r="M38" s="50">
        <v>10</v>
      </c>
      <c r="N38" s="50">
        <v>10</v>
      </c>
      <c r="O38" s="53">
        <f t="shared" si="2"/>
        <v>10</v>
      </c>
      <c r="P38" s="51">
        <v>20</v>
      </c>
      <c r="Q38" s="51">
        <v>20</v>
      </c>
      <c r="R38" s="51">
        <v>20</v>
      </c>
      <c r="S38" s="53">
        <f t="shared" si="3"/>
        <v>20</v>
      </c>
      <c r="T38" s="51">
        <v>20</v>
      </c>
      <c r="U38" s="51">
        <v>20</v>
      </c>
      <c r="V38" s="51">
        <v>20</v>
      </c>
      <c r="W38" s="53">
        <f t="shared" si="4"/>
        <v>20</v>
      </c>
      <c r="X38" s="53">
        <f t="shared" si="5"/>
        <v>40</v>
      </c>
      <c r="Y38" s="51">
        <v>20</v>
      </c>
      <c r="Z38" s="53">
        <f t="shared" si="6"/>
        <v>100</v>
      </c>
      <c r="AA38" s="54" t="str">
        <f t="shared" si="7"/>
        <v>APROBADO</v>
      </c>
    </row>
    <row r="39" spans="1:27" ht="12.75" customHeight="1" x14ac:dyDescent="0.2">
      <c r="A39" s="46">
        <v>31</v>
      </c>
      <c r="B39" s="55">
        <f>FILIACIÓN!B37</f>
        <v>0</v>
      </c>
      <c r="C39" s="51">
        <v>10</v>
      </c>
      <c r="D39" s="51">
        <v>10</v>
      </c>
      <c r="E39" s="51">
        <v>10</v>
      </c>
      <c r="F39" s="53">
        <f t="shared" si="0"/>
        <v>10</v>
      </c>
      <c r="G39" s="51">
        <v>20</v>
      </c>
      <c r="H39" s="51">
        <v>20</v>
      </c>
      <c r="I39" s="51">
        <v>20</v>
      </c>
      <c r="J39" s="51">
        <v>20</v>
      </c>
      <c r="K39" s="53">
        <f t="shared" si="1"/>
        <v>20</v>
      </c>
      <c r="L39" s="50">
        <v>10</v>
      </c>
      <c r="M39" s="50">
        <v>10</v>
      </c>
      <c r="N39" s="50">
        <v>10</v>
      </c>
      <c r="O39" s="53">
        <f t="shared" si="2"/>
        <v>10</v>
      </c>
      <c r="P39" s="51">
        <v>20</v>
      </c>
      <c r="Q39" s="51">
        <v>20</v>
      </c>
      <c r="R39" s="51">
        <v>20</v>
      </c>
      <c r="S39" s="53">
        <f t="shared" si="3"/>
        <v>20</v>
      </c>
      <c r="T39" s="51">
        <v>20</v>
      </c>
      <c r="U39" s="51">
        <v>20</v>
      </c>
      <c r="V39" s="51">
        <v>20</v>
      </c>
      <c r="W39" s="53">
        <f t="shared" si="4"/>
        <v>20</v>
      </c>
      <c r="X39" s="53">
        <f t="shared" si="5"/>
        <v>40</v>
      </c>
      <c r="Y39" s="51">
        <v>20</v>
      </c>
      <c r="Z39" s="53">
        <f t="shared" si="6"/>
        <v>100</v>
      </c>
      <c r="AA39" s="54" t="str">
        <f t="shared" si="7"/>
        <v>APROBADO</v>
      </c>
    </row>
    <row r="40" spans="1:27" ht="12.75" customHeight="1" x14ac:dyDescent="0.2">
      <c r="A40" s="46">
        <v>32</v>
      </c>
      <c r="B40" s="55">
        <f>FILIACIÓN!B38</f>
        <v>0</v>
      </c>
      <c r="C40" s="51">
        <v>10</v>
      </c>
      <c r="D40" s="51">
        <v>10</v>
      </c>
      <c r="E40" s="51">
        <v>10</v>
      </c>
      <c r="F40" s="53">
        <f t="shared" si="0"/>
        <v>10</v>
      </c>
      <c r="G40" s="51">
        <v>20</v>
      </c>
      <c r="H40" s="51">
        <v>20</v>
      </c>
      <c r="I40" s="51">
        <v>20</v>
      </c>
      <c r="J40" s="51">
        <v>20</v>
      </c>
      <c r="K40" s="53">
        <f t="shared" si="1"/>
        <v>20</v>
      </c>
      <c r="L40" s="50">
        <v>10</v>
      </c>
      <c r="M40" s="50">
        <v>10</v>
      </c>
      <c r="N40" s="50">
        <v>10</v>
      </c>
      <c r="O40" s="53">
        <f t="shared" si="2"/>
        <v>10</v>
      </c>
      <c r="P40" s="51">
        <v>20</v>
      </c>
      <c r="Q40" s="51">
        <v>20</v>
      </c>
      <c r="R40" s="51">
        <v>20</v>
      </c>
      <c r="S40" s="53">
        <f t="shared" si="3"/>
        <v>20</v>
      </c>
      <c r="T40" s="51">
        <v>20</v>
      </c>
      <c r="U40" s="51">
        <v>20</v>
      </c>
      <c r="V40" s="51">
        <v>20</v>
      </c>
      <c r="W40" s="53">
        <f t="shared" si="4"/>
        <v>20</v>
      </c>
      <c r="X40" s="53">
        <f t="shared" si="5"/>
        <v>40</v>
      </c>
      <c r="Y40" s="51">
        <v>20</v>
      </c>
      <c r="Z40" s="53">
        <f t="shared" si="6"/>
        <v>100</v>
      </c>
      <c r="AA40" s="54" t="str">
        <f t="shared" si="7"/>
        <v>APROBADO</v>
      </c>
    </row>
    <row r="41" spans="1:27" ht="12.75" customHeight="1" x14ac:dyDescent="0.2">
      <c r="A41" s="46">
        <v>33</v>
      </c>
      <c r="B41" s="55">
        <f>FILIACIÓN!B39</f>
        <v>0</v>
      </c>
      <c r="C41" s="51">
        <v>10</v>
      </c>
      <c r="D41" s="51">
        <v>10</v>
      </c>
      <c r="E41" s="51">
        <v>10</v>
      </c>
      <c r="F41" s="53">
        <f t="shared" si="0"/>
        <v>10</v>
      </c>
      <c r="G41" s="51">
        <v>20</v>
      </c>
      <c r="H41" s="51">
        <v>20</v>
      </c>
      <c r="I41" s="51">
        <v>20</v>
      </c>
      <c r="J41" s="51">
        <v>20</v>
      </c>
      <c r="K41" s="53">
        <f t="shared" si="1"/>
        <v>20</v>
      </c>
      <c r="L41" s="50">
        <v>10</v>
      </c>
      <c r="M41" s="50">
        <v>10</v>
      </c>
      <c r="N41" s="50">
        <v>10</v>
      </c>
      <c r="O41" s="53">
        <f t="shared" si="2"/>
        <v>10</v>
      </c>
      <c r="P41" s="51">
        <v>20</v>
      </c>
      <c r="Q41" s="51">
        <v>20</v>
      </c>
      <c r="R41" s="51">
        <v>20</v>
      </c>
      <c r="S41" s="53">
        <f t="shared" si="3"/>
        <v>20</v>
      </c>
      <c r="T41" s="51">
        <v>20</v>
      </c>
      <c r="U41" s="51">
        <v>20</v>
      </c>
      <c r="V41" s="51">
        <v>20</v>
      </c>
      <c r="W41" s="53">
        <f t="shared" si="4"/>
        <v>20</v>
      </c>
      <c r="X41" s="53">
        <f t="shared" si="5"/>
        <v>40</v>
      </c>
      <c r="Y41" s="51">
        <v>20</v>
      </c>
      <c r="Z41" s="53">
        <f t="shared" si="6"/>
        <v>100</v>
      </c>
      <c r="AA41" s="54" t="str">
        <f t="shared" si="7"/>
        <v>APROBADO</v>
      </c>
    </row>
    <row r="42" spans="1:27" ht="12.75" customHeight="1" x14ac:dyDescent="0.2">
      <c r="A42" s="46">
        <v>34</v>
      </c>
      <c r="B42" s="55">
        <f>FILIACIÓN!B40</f>
        <v>0</v>
      </c>
      <c r="C42" s="51">
        <v>10</v>
      </c>
      <c r="D42" s="51">
        <v>10</v>
      </c>
      <c r="E42" s="51">
        <v>10</v>
      </c>
      <c r="F42" s="53">
        <f t="shared" si="0"/>
        <v>10</v>
      </c>
      <c r="G42" s="51">
        <v>20</v>
      </c>
      <c r="H42" s="51">
        <v>20</v>
      </c>
      <c r="I42" s="51">
        <v>20</v>
      </c>
      <c r="J42" s="51">
        <v>20</v>
      </c>
      <c r="K42" s="53">
        <f t="shared" si="1"/>
        <v>20</v>
      </c>
      <c r="L42" s="50">
        <v>10</v>
      </c>
      <c r="M42" s="50">
        <v>10</v>
      </c>
      <c r="N42" s="50">
        <v>10</v>
      </c>
      <c r="O42" s="53">
        <f t="shared" si="2"/>
        <v>10</v>
      </c>
      <c r="P42" s="51">
        <v>20</v>
      </c>
      <c r="Q42" s="51">
        <v>20</v>
      </c>
      <c r="R42" s="51">
        <v>20</v>
      </c>
      <c r="S42" s="53">
        <f t="shared" si="3"/>
        <v>20</v>
      </c>
      <c r="T42" s="51">
        <v>20</v>
      </c>
      <c r="U42" s="51">
        <v>20</v>
      </c>
      <c r="V42" s="51">
        <v>20</v>
      </c>
      <c r="W42" s="53">
        <f t="shared" si="4"/>
        <v>20</v>
      </c>
      <c r="X42" s="53">
        <f t="shared" si="5"/>
        <v>40</v>
      </c>
      <c r="Y42" s="51">
        <v>20</v>
      </c>
      <c r="Z42" s="53">
        <f t="shared" si="6"/>
        <v>100</v>
      </c>
      <c r="AA42" s="54" t="str">
        <f t="shared" si="7"/>
        <v>APROBADO</v>
      </c>
    </row>
    <row r="43" spans="1:27" ht="12.75" customHeight="1" x14ac:dyDescent="0.2">
      <c r="A43" s="46">
        <v>35</v>
      </c>
      <c r="B43" s="55">
        <f>FILIACIÓN!B41</f>
        <v>0</v>
      </c>
      <c r="C43" s="51">
        <v>10</v>
      </c>
      <c r="D43" s="51">
        <v>10</v>
      </c>
      <c r="E43" s="51">
        <v>10</v>
      </c>
      <c r="F43" s="53">
        <f t="shared" si="0"/>
        <v>10</v>
      </c>
      <c r="G43" s="51">
        <v>20</v>
      </c>
      <c r="H43" s="51">
        <v>20</v>
      </c>
      <c r="I43" s="51">
        <v>20</v>
      </c>
      <c r="J43" s="51">
        <v>20</v>
      </c>
      <c r="K43" s="53">
        <f t="shared" si="1"/>
        <v>20</v>
      </c>
      <c r="L43" s="50">
        <v>10</v>
      </c>
      <c r="M43" s="50">
        <v>10</v>
      </c>
      <c r="N43" s="50">
        <v>10</v>
      </c>
      <c r="O43" s="53">
        <f t="shared" si="2"/>
        <v>10</v>
      </c>
      <c r="P43" s="51">
        <v>20</v>
      </c>
      <c r="Q43" s="51">
        <v>20</v>
      </c>
      <c r="R43" s="51">
        <v>20</v>
      </c>
      <c r="S43" s="53">
        <f t="shared" si="3"/>
        <v>20</v>
      </c>
      <c r="T43" s="51">
        <v>20</v>
      </c>
      <c r="U43" s="51">
        <v>20</v>
      </c>
      <c r="V43" s="51">
        <v>20</v>
      </c>
      <c r="W43" s="53">
        <f t="shared" si="4"/>
        <v>20</v>
      </c>
      <c r="X43" s="53">
        <f t="shared" si="5"/>
        <v>40</v>
      </c>
      <c r="Y43" s="51">
        <v>20</v>
      </c>
      <c r="Z43" s="53">
        <f t="shared" si="6"/>
        <v>100</v>
      </c>
      <c r="AA43" s="54" t="str">
        <f t="shared" si="7"/>
        <v>APROBADO</v>
      </c>
    </row>
  </sheetData>
  <sheetProtection algorithmName="SHA-512" hashValue="qoquD0FIT8xz5rH1Axtp6Al5AmnRNVQ62OjgnIoiqtVkkAJV2+kKsW+DBAL72FGI6lMqPWX43fGsmhHCzICAeQ==" saltValue="l8OnPfzBp3z3Dt7F3M7fUQ==" spinCount="100000" sheet="1" objects="1" scenarios="1"/>
  <mergeCells count="17">
    <mergeCell ref="L7:N7"/>
    <mergeCell ref="O7:O8"/>
    <mergeCell ref="P7:R7"/>
    <mergeCell ref="S7:S8"/>
    <mergeCell ref="B2:AA2"/>
    <mergeCell ref="P3:S3"/>
    <mergeCell ref="T3:W3"/>
    <mergeCell ref="P6:V6"/>
    <mergeCell ref="W6:W8"/>
    <mergeCell ref="X6:X8"/>
    <mergeCell ref="Y6:Y8"/>
    <mergeCell ref="Z6:Z8"/>
    <mergeCell ref="C7:E7"/>
    <mergeCell ref="F7:F8"/>
    <mergeCell ref="T7:V7"/>
    <mergeCell ref="G7:J7"/>
    <mergeCell ref="K7:K8"/>
  </mergeCells>
  <conditionalFormatting sqref="F9:F43">
    <cfRule type="top10" dxfId="4" priority="5" bottom="1" rank="10"/>
  </conditionalFormatting>
  <conditionalFormatting sqref="K9:K43">
    <cfRule type="top10" dxfId="3" priority="4" bottom="1" rank="10"/>
  </conditionalFormatting>
  <conditionalFormatting sqref="O9:O43">
    <cfRule type="top10" dxfId="2" priority="3" bottom="1" rank="10"/>
  </conditionalFormatting>
  <conditionalFormatting sqref="S9:S43">
    <cfRule type="top10" dxfId="1" priority="2" bottom="1" rank="10"/>
  </conditionalFormatting>
  <conditionalFormatting sqref="W9:W43">
    <cfRule type="top10" dxfId="0" priority="1" bottom="1" rank="10"/>
  </conditionalFormatting>
  <dataValidations count="2">
    <dataValidation type="whole" allowBlank="1" showInputMessage="1" showErrorMessage="1" error="ESCRIBA ENTRE 0 Y 20" sqref="G9:J43 P9:R43 T9:V43 Y9:Y43" xr:uid="{40617AFF-C432-4AAF-BAE2-C407F60400AC}">
      <formula1>0</formula1>
      <formula2>20</formula2>
    </dataValidation>
    <dataValidation type="whole" allowBlank="1" showInputMessage="1" showErrorMessage="1" error="ESCRIBA ENTRE 0 Y 10" sqref="C9:E43 L9:N43" xr:uid="{AC279346-6408-4667-845F-B48E89CEA6B2}">
      <formula1>0</formula1>
      <formula2>10</formula2>
    </dataValidation>
  </dataValidations>
  <pageMargins left="0" right="0" top="0" bottom="0" header="0" footer="0.31496062992125984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otón2_Haga_clic_en">
                <anchor>
                  <from>
                    <xdr:col>25</xdr:col>
                    <xdr:colOff>257175</xdr:colOff>
                    <xdr:row>4</xdr:row>
                    <xdr:rowOff>76200</xdr:rowOff>
                  </from>
                  <to>
                    <xdr:col>26</xdr:col>
                    <xdr:colOff>895350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05CDF-B8E7-48B3-9486-5661E2BACCD2}">
  <sheetPr codeName="Hoja15">
    <tabColor rgb="FF7030A0"/>
  </sheetPr>
  <dimension ref="A2:F43"/>
  <sheetViews>
    <sheetView zoomScale="120" zoomScaleNormal="120" workbookViewId="0">
      <selection activeCell="F12" sqref="F12"/>
    </sheetView>
  </sheetViews>
  <sheetFormatPr baseColWidth="10" defaultRowHeight="14.1" customHeight="1" x14ac:dyDescent="0.2"/>
  <cols>
    <col min="1" max="1" width="4" style="7" customWidth="1"/>
    <col min="2" max="2" width="28.7109375" style="7" customWidth="1"/>
    <col min="3" max="16384" width="11.42578125" style="7"/>
  </cols>
  <sheetData>
    <row r="2" spans="1:6" ht="14.1" customHeight="1" x14ac:dyDescent="0.2">
      <c r="B2" s="92" t="s">
        <v>75</v>
      </c>
      <c r="C2" s="92"/>
      <c r="D2" s="92"/>
      <c r="E2" s="92"/>
    </row>
    <row r="4" spans="1:6" ht="14.1" customHeight="1" x14ac:dyDescent="0.2">
      <c r="B4" s="48" t="s">
        <v>37</v>
      </c>
      <c r="C4" s="7" t="str">
        <f>CARÁTULA!$F$12</f>
        <v>SAGRADA FAMILIA III</v>
      </c>
      <c r="E4" s="60" t="s">
        <v>9</v>
      </c>
      <c r="F4" s="9">
        <f>CARÁTULA!$F$27</f>
        <v>2022</v>
      </c>
    </row>
    <row r="5" spans="1:6" ht="14.1" customHeight="1" x14ac:dyDescent="0.2">
      <c r="B5" s="49" t="s">
        <v>5</v>
      </c>
      <c r="C5" s="7" t="str">
        <f>CARÁTULA!$F$18</f>
        <v>AUXILIAR</v>
      </c>
    </row>
    <row r="6" spans="1:6" ht="14.1" customHeight="1" x14ac:dyDescent="0.2">
      <c r="B6" s="49" t="s">
        <v>38</v>
      </c>
      <c r="C6" s="7" t="str">
        <f>CARÁTULA!$F$16</f>
        <v>MARÍA DE LOS JARICHIS</v>
      </c>
    </row>
    <row r="8" spans="1:6" ht="14.1" customHeight="1" x14ac:dyDescent="0.2">
      <c r="A8" s="58" t="s">
        <v>23</v>
      </c>
      <c r="B8" s="58" t="s">
        <v>68</v>
      </c>
      <c r="C8" s="58" t="s">
        <v>72</v>
      </c>
      <c r="D8" s="58" t="s">
        <v>73</v>
      </c>
      <c r="E8" s="58" t="s">
        <v>74</v>
      </c>
    </row>
    <row r="9" spans="1:6" ht="14.1" customHeight="1" x14ac:dyDescent="0.25">
      <c r="A9" s="37">
        <v>1</v>
      </c>
      <c r="B9" s="55" t="str">
        <f>FILIACIÓN!B7</f>
        <v>JJJJJJJJJJJJJJJJJJJJ</v>
      </c>
      <c r="C9" s="59">
        <f>'1er SEM'!Z9</f>
        <v>100</v>
      </c>
      <c r="D9" s="50">
        <f>'2DO SEM '!Z9</f>
        <v>100</v>
      </c>
      <c r="E9" s="61">
        <f>IFERROR(AVERAGE(C9:D9),"")</f>
        <v>100</v>
      </c>
    </row>
    <row r="10" spans="1:6" ht="14.1" customHeight="1" x14ac:dyDescent="0.25">
      <c r="A10" s="37">
        <v>2</v>
      </c>
      <c r="B10" s="55" t="str">
        <f>FILIACIÓN!B8</f>
        <v>AAAAAAAAAAAAAAAAAA</v>
      </c>
      <c r="C10" s="59">
        <f>'1er SEM'!Z10</f>
        <v>100</v>
      </c>
      <c r="D10" s="50">
        <f>'2DO SEM '!Z10</f>
        <v>100</v>
      </c>
      <c r="E10" s="61">
        <f t="shared" ref="E10:E43" si="0">IFERROR(AVERAGE(C10:D10),"")</f>
        <v>100</v>
      </c>
    </row>
    <row r="11" spans="1:6" ht="14.1" customHeight="1" x14ac:dyDescent="0.25">
      <c r="A11" s="37">
        <v>3</v>
      </c>
      <c r="B11" s="55" t="str">
        <f>FILIACIÓN!B9</f>
        <v>OOOOOOOOOOOOOOOOOO</v>
      </c>
      <c r="C11" s="59">
        <f>'1er SEM'!Z11</f>
        <v>100</v>
      </c>
      <c r="D11" s="50">
        <f>'2DO SEM '!Z11</f>
        <v>100</v>
      </c>
      <c r="E11" s="61">
        <f t="shared" si="0"/>
        <v>100</v>
      </c>
    </row>
    <row r="12" spans="1:6" ht="14.1" customHeight="1" x14ac:dyDescent="0.25">
      <c r="A12" s="37">
        <v>4</v>
      </c>
      <c r="B12" s="55">
        <f>FILIACIÓN!B10</f>
        <v>0</v>
      </c>
      <c r="C12" s="59">
        <f>'1er SEM'!Z12</f>
        <v>100</v>
      </c>
      <c r="D12" s="50">
        <f>'2DO SEM '!Z12</f>
        <v>100</v>
      </c>
      <c r="E12" s="61">
        <f t="shared" si="0"/>
        <v>100</v>
      </c>
    </row>
    <row r="13" spans="1:6" ht="14.1" customHeight="1" x14ac:dyDescent="0.25">
      <c r="A13" s="37">
        <v>5</v>
      </c>
      <c r="B13" s="55">
        <f>FILIACIÓN!B11</f>
        <v>0</v>
      </c>
      <c r="C13" s="59">
        <f>'1er SEM'!Z13</f>
        <v>100</v>
      </c>
      <c r="D13" s="50">
        <f>'2DO SEM '!Z13</f>
        <v>100</v>
      </c>
      <c r="E13" s="61">
        <f t="shared" si="0"/>
        <v>100</v>
      </c>
    </row>
    <row r="14" spans="1:6" ht="14.1" customHeight="1" x14ac:dyDescent="0.25">
      <c r="A14" s="37">
        <v>6</v>
      </c>
      <c r="B14" s="55">
        <f>FILIACIÓN!B12</f>
        <v>0</v>
      </c>
      <c r="C14" s="59">
        <f>'1er SEM'!Z14</f>
        <v>100</v>
      </c>
      <c r="D14" s="50">
        <f>'2DO SEM '!Z14</f>
        <v>100</v>
      </c>
      <c r="E14" s="61">
        <f t="shared" si="0"/>
        <v>100</v>
      </c>
    </row>
    <row r="15" spans="1:6" ht="14.1" customHeight="1" x14ac:dyDescent="0.25">
      <c r="A15" s="37">
        <v>7</v>
      </c>
      <c r="B15" s="55">
        <f>FILIACIÓN!B13</f>
        <v>0</v>
      </c>
      <c r="C15" s="59">
        <f>'1er SEM'!Z15</f>
        <v>100</v>
      </c>
      <c r="D15" s="50">
        <f>'2DO SEM '!Z15</f>
        <v>100</v>
      </c>
      <c r="E15" s="61">
        <f t="shared" si="0"/>
        <v>100</v>
      </c>
    </row>
    <row r="16" spans="1:6" ht="14.1" customHeight="1" x14ac:dyDescent="0.25">
      <c r="A16" s="37">
        <v>8</v>
      </c>
      <c r="B16" s="55">
        <f>FILIACIÓN!B14</f>
        <v>0</v>
      </c>
      <c r="C16" s="59">
        <f>'1er SEM'!Z16</f>
        <v>97.5</v>
      </c>
      <c r="D16" s="50">
        <f>'2DO SEM '!Z16</f>
        <v>97.5</v>
      </c>
      <c r="E16" s="61">
        <f t="shared" si="0"/>
        <v>97.5</v>
      </c>
    </row>
    <row r="17" spans="1:5" ht="14.1" customHeight="1" x14ac:dyDescent="0.25">
      <c r="A17" s="37">
        <v>9</v>
      </c>
      <c r="B17" s="55">
        <f>FILIACIÓN!B15</f>
        <v>0</v>
      </c>
      <c r="C17" s="59">
        <f>'1er SEM'!Z17</f>
        <v>100</v>
      </c>
      <c r="D17" s="50">
        <f>'2DO SEM '!Z17</f>
        <v>100</v>
      </c>
      <c r="E17" s="61">
        <f t="shared" si="0"/>
        <v>100</v>
      </c>
    </row>
    <row r="18" spans="1:5" ht="14.1" customHeight="1" x14ac:dyDescent="0.25">
      <c r="A18" s="37">
        <v>10</v>
      </c>
      <c r="B18" s="55">
        <f>FILIACIÓN!B16</f>
        <v>0</v>
      </c>
      <c r="C18" s="59">
        <f>'1er SEM'!Z18</f>
        <v>100</v>
      </c>
      <c r="D18" s="50">
        <f>'2DO SEM '!Z18</f>
        <v>100</v>
      </c>
      <c r="E18" s="61">
        <f t="shared" si="0"/>
        <v>100</v>
      </c>
    </row>
    <row r="19" spans="1:5" ht="14.1" customHeight="1" x14ac:dyDescent="0.25">
      <c r="A19" s="37">
        <v>11</v>
      </c>
      <c r="B19" s="55">
        <f>FILIACIÓN!B17</f>
        <v>0</v>
      </c>
      <c r="C19" s="59">
        <f>'1er SEM'!Z19</f>
        <v>100</v>
      </c>
      <c r="D19" s="50">
        <f>'2DO SEM '!Z19</f>
        <v>100</v>
      </c>
      <c r="E19" s="61">
        <f t="shared" si="0"/>
        <v>100</v>
      </c>
    </row>
    <row r="20" spans="1:5" ht="14.1" customHeight="1" x14ac:dyDescent="0.25">
      <c r="A20" s="37">
        <v>12</v>
      </c>
      <c r="B20" s="55">
        <f>FILIACIÓN!B18</f>
        <v>0</v>
      </c>
      <c r="C20" s="59">
        <f>'1er SEM'!Z20</f>
        <v>100</v>
      </c>
      <c r="D20" s="50">
        <f>'2DO SEM '!Z20</f>
        <v>100</v>
      </c>
      <c r="E20" s="61">
        <f t="shared" si="0"/>
        <v>100</v>
      </c>
    </row>
    <row r="21" spans="1:5" ht="14.1" customHeight="1" x14ac:dyDescent="0.25">
      <c r="A21" s="37">
        <v>13</v>
      </c>
      <c r="B21" s="55">
        <f>FILIACIÓN!B19</f>
        <v>0</v>
      </c>
      <c r="C21" s="59">
        <f>'1er SEM'!Z21</f>
        <v>100</v>
      </c>
      <c r="D21" s="50">
        <f>'2DO SEM '!Z21</f>
        <v>100</v>
      </c>
      <c r="E21" s="61">
        <f t="shared" si="0"/>
        <v>100</v>
      </c>
    </row>
    <row r="22" spans="1:5" ht="14.1" customHeight="1" x14ac:dyDescent="0.25">
      <c r="A22" s="37">
        <v>14</v>
      </c>
      <c r="B22" s="55">
        <f>FILIACIÓN!B20</f>
        <v>0</v>
      </c>
      <c r="C22" s="59">
        <f>'1er SEM'!Z22</f>
        <v>100</v>
      </c>
      <c r="D22" s="50">
        <f>'2DO SEM '!Z22</f>
        <v>100</v>
      </c>
      <c r="E22" s="61">
        <f t="shared" si="0"/>
        <v>100</v>
      </c>
    </row>
    <row r="23" spans="1:5" ht="14.1" customHeight="1" x14ac:dyDescent="0.25">
      <c r="A23" s="37">
        <v>15</v>
      </c>
      <c r="B23" s="55">
        <f>FILIACIÓN!B21</f>
        <v>0</v>
      </c>
      <c r="C23" s="59">
        <f>'1er SEM'!Z23</f>
        <v>100</v>
      </c>
      <c r="D23" s="50">
        <f>'2DO SEM '!Z23</f>
        <v>100</v>
      </c>
      <c r="E23" s="61">
        <f t="shared" si="0"/>
        <v>100</v>
      </c>
    </row>
    <row r="24" spans="1:5" ht="14.1" customHeight="1" x14ac:dyDescent="0.25">
      <c r="A24" s="37">
        <v>16</v>
      </c>
      <c r="B24" s="55">
        <f>FILIACIÓN!B22</f>
        <v>0</v>
      </c>
      <c r="C24" s="59">
        <f>'1er SEM'!Z24</f>
        <v>100</v>
      </c>
      <c r="D24" s="50">
        <f>'2DO SEM '!Z24</f>
        <v>100</v>
      </c>
      <c r="E24" s="61">
        <f t="shared" si="0"/>
        <v>100</v>
      </c>
    </row>
    <row r="25" spans="1:5" ht="14.1" customHeight="1" x14ac:dyDescent="0.25">
      <c r="A25" s="37">
        <v>17</v>
      </c>
      <c r="B25" s="55">
        <f>FILIACIÓN!B23</f>
        <v>0</v>
      </c>
      <c r="C25" s="59">
        <f>'1er SEM'!Z25</f>
        <v>100</v>
      </c>
      <c r="D25" s="50">
        <f>'2DO SEM '!Z25</f>
        <v>100</v>
      </c>
      <c r="E25" s="61">
        <f t="shared" si="0"/>
        <v>100</v>
      </c>
    </row>
    <row r="26" spans="1:5" ht="14.1" customHeight="1" x14ac:dyDescent="0.25">
      <c r="A26" s="37">
        <v>18</v>
      </c>
      <c r="B26" s="55">
        <f>FILIACIÓN!B24</f>
        <v>0</v>
      </c>
      <c r="C26" s="59">
        <f>'1er SEM'!Z26</f>
        <v>100</v>
      </c>
      <c r="D26" s="50">
        <f>'2DO SEM '!Z26</f>
        <v>100</v>
      </c>
      <c r="E26" s="61">
        <f t="shared" si="0"/>
        <v>100</v>
      </c>
    </row>
    <row r="27" spans="1:5" ht="14.1" customHeight="1" x14ac:dyDescent="0.25">
      <c r="A27" s="37">
        <v>19</v>
      </c>
      <c r="B27" s="55">
        <f>FILIACIÓN!B25</f>
        <v>0</v>
      </c>
      <c r="C27" s="59">
        <f>'1er SEM'!Z27</f>
        <v>100</v>
      </c>
      <c r="D27" s="50">
        <f>'2DO SEM '!Z27</f>
        <v>100</v>
      </c>
      <c r="E27" s="61">
        <f t="shared" si="0"/>
        <v>100</v>
      </c>
    </row>
    <row r="28" spans="1:5" ht="14.1" customHeight="1" x14ac:dyDescent="0.25">
      <c r="A28" s="37">
        <v>20</v>
      </c>
      <c r="B28" s="55">
        <f>FILIACIÓN!B26</f>
        <v>0</v>
      </c>
      <c r="C28" s="59">
        <f>'1er SEM'!Z28</f>
        <v>100</v>
      </c>
      <c r="D28" s="50">
        <f>'2DO SEM '!Z28</f>
        <v>100</v>
      </c>
      <c r="E28" s="61">
        <f t="shared" si="0"/>
        <v>100</v>
      </c>
    </row>
    <row r="29" spans="1:5" ht="14.1" customHeight="1" x14ac:dyDescent="0.25">
      <c r="A29" s="37">
        <v>21</v>
      </c>
      <c r="B29" s="55">
        <f>FILIACIÓN!B27</f>
        <v>0</v>
      </c>
      <c r="C29" s="59">
        <f>'1er SEM'!Z29</f>
        <v>90</v>
      </c>
      <c r="D29" s="50">
        <f>'2DO SEM '!Z29</f>
        <v>90</v>
      </c>
      <c r="E29" s="61">
        <f t="shared" si="0"/>
        <v>90</v>
      </c>
    </row>
    <row r="30" spans="1:5" ht="14.1" customHeight="1" x14ac:dyDescent="0.25">
      <c r="A30" s="37">
        <v>22</v>
      </c>
      <c r="B30" s="55">
        <f>FILIACIÓN!B28</f>
        <v>0</v>
      </c>
      <c r="C30" s="59">
        <f>'1er SEM'!Z30</f>
        <v>100</v>
      </c>
      <c r="D30" s="50">
        <f>'2DO SEM '!Z30</f>
        <v>100</v>
      </c>
      <c r="E30" s="61">
        <f t="shared" si="0"/>
        <v>100</v>
      </c>
    </row>
    <row r="31" spans="1:5" ht="14.1" customHeight="1" x14ac:dyDescent="0.25">
      <c r="A31" s="37">
        <v>23</v>
      </c>
      <c r="B31" s="55">
        <f>FILIACIÓN!B29</f>
        <v>0</v>
      </c>
      <c r="C31" s="59">
        <f>'1er SEM'!Z31</f>
        <v>100</v>
      </c>
      <c r="D31" s="50">
        <f>'2DO SEM '!Z31</f>
        <v>100</v>
      </c>
      <c r="E31" s="61">
        <f t="shared" si="0"/>
        <v>100</v>
      </c>
    </row>
    <row r="32" spans="1:5" ht="14.1" customHeight="1" x14ac:dyDescent="0.25">
      <c r="A32" s="37">
        <v>24</v>
      </c>
      <c r="B32" s="55">
        <f>FILIACIÓN!B30</f>
        <v>0</v>
      </c>
      <c r="C32" s="59">
        <f>'1er SEM'!Z32</f>
        <v>100</v>
      </c>
      <c r="D32" s="50">
        <f>'2DO SEM '!Z32</f>
        <v>100</v>
      </c>
      <c r="E32" s="61">
        <f t="shared" si="0"/>
        <v>100</v>
      </c>
    </row>
    <row r="33" spans="1:5" ht="14.1" customHeight="1" x14ac:dyDescent="0.25">
      <c r="A33" s="37">
        <v>25</v>
      </c>
      <c r="B33" s="55">
        <f>FILIACIÓN!B31</f>
        <v>0</v>
      </c>
      <c r="C33" s="59">
        <f>'1er SEM'!Z33</f>
        <v>100</v>
      </c>
      <c r="D33" s="50">
        <f>'2DO SEM '!Z33</f>
        <v>100</v>
      </c>
      <c r="E33" s="61">
        <f t="shared" si="0"/>
        <v>100</v>
      </c>
    </row>
    <row r="34" spans="1:5" ht="14.1" customHeight="1" x14ac:dyDescent="0.25">
      <c r="A34" s="37">
        <v>26</v>
      </c>
      <c r="B34" s="55">
        <f>FILIACIÓN!B32</f>
        <v>0</v>
      </c>
      <c r="C34" s="59">
        <f>'1er SEM'!Z34</f>
        <v>100</v>
      </c>
      <c r="D34" s="50">
        <f>'2DO SEM '!Z34</f>
        <v>100</v>
      </c>
      <c r="E34" s="61">
        <f t="shared" si="0"/>
        <v>100</v>
      </c>
    </row>
    <row r="35" spans="1:5" ht="14.1" customHeight="1" x14ac:dyDescent="0.25">
      <c r="A35" s="37">
        <v>27</v>
      </c>
      <c r="B35" s="55">
        <f>FILIACIÓN!B33</f>
        <v>0</v>
      </c>
      <c r="C35" s="59">
        <f>'1er SEM'!Z35</f>
        <v>100</v>
      </c>
      <c r="D35" s="50">
        <f>'2DO SEM '!Z35</f>
        <v>100</v>
      </c>
      <c r="E35" s="61">
        <f t="shared" si="0"/>
        <v>100</v>
      </c>
    </row>
    <row r="36" spans="1:5" ht="14.1" customHeight="1" x14ac:dyDescent="0.25">
      <c r="A36" s="37">
        <v>28</v>
      </c>
      <c r="B36" s="55">
        <f>FILIACIÓN!B34</f>
        <v>0</v>
      </c>
      <c r="C36" s="59">
        <f>'1er SEM'!Z36</f>
        <v>100</v>
      </c>
      <c r="D36" s="50">
        <f>'2DO SEM '!Z36</f>
        <v>100</v>
      </c>
      <c r="E36" s="61">
        <f t="shared" si="0"/>
        <v>100</v>
      </c>
    </row>
    <row r="37" spans="1:5" ht="14.1" customHeight="1" x14ac:dyDescent="0.25">
      <c r="A37" s="37">
        <v>29</v>
      </c>
      <c r="B37" s="55">
        <f>FILIACIÓN!B35</f>
        <v>0</v>
      </c>
      <c r="C37" s="59">
        <f>'1er SEM'!Z37</f>
        <v>100</v>
      </c>
      <c r="D37" s="50">
        <f>'2DO SEM '!Z37</f>
        <v>100</v>
      </c>
      <c r="E37" s="61">
        <f t="shared" si="0"/>
        <v>100</v>
      </c>
    </row>
    <row r="38" spans="1:5" ht="14.1" customHeight="1" x14ac:dyDescent="0.25">
      <c r="A38" s="37">
        <v>30</v>
      </c>
      <c r="B38" s="55">
        <f>FILIACIÓN!B36</f>
        <v>0</v>
      </c>
      <c r="C38" s="59">
        <f>'1er SEM'!Z38</f>
        <v>100</v>
      </c>
      <c r="D38" s="50">
        <f>'2DO SEM '!Z38</f>
        <v>100</v>
      </c>
      <c r="E38" s="61">
        <f t="shared" si="0"/>
        <v>100</v>
      </c>
    </row>
    <row r="39" spans="1:5" ht="14.1" customHeight="1" x14ac:dyDescent="0.25">
      <c r="A39" s="37">
        <v>31</v>
      </c>
      <c r="B39" s="55">
        <f>FILIACIÓN!B37</f>
        <v>0</v>
      </c>
      <c r="C39" s="59">
        <f>'1er SEM'!Z39</f>
        <v>100</v>
      </c>
      <c r="D39" s="50">
        <f>'2DO SEM '!Z39</f>
        <v>100</v>
      </c>
      <c r="E39" s="61">
        <f t="shared" si="0"/>
        <v>100</v>
      </c>
    </row>
    <row r="40" spans="1:5" ht="14.1" customHeight="1" x14ac:dyDescent="0.25">
      <c r="A40" s="37">
        <v>32</v>
      </c>
      <c r="B40" s="55">
        <f>FILIACIÓN!B38</f>
        <v>0</v>
      </c>
      <c r="C40" s="59">
        <f>'1er SEM'!Z40</f>
        <v>100</v>
      </c>
      <c r="D40" s="50">
        <f>'2DO SEM '!Z40</f>
        <v>100</v>
      </c>
      <c r="E40" s="61">
        <f t="shared" si="0"/>
        <v>100</v>
      </c>
    </row>
    <row r="41" spans="1:5" ht="14.1" customHeight="1" x14ac:dyDescent="0.25">
      <c r="A41" s="37">
        <v>33</v>
      </c>
      <c r="B41" s="55">
        <f>FILIACIÓN!B39</f>
        <v>0</v>
      </c>
      <c r="C41" s="59">
        <f>'1er SEM'!Z41</f>
        <v>100</v>
      </c>
      <c r="D41" s="50">
        <f>'2DO SEM '!Z41</f>
        <v>100</v>
      </c>
      <c r="E41" s="61">
        <f t="shared" si="0"/>
        <v>100</v>
      </c>
    </row>
    <row r="42" spans="1:5" ht="14.1" customHeight="1" x14ac:dyDescent="0.25">
      <c r="A42" s="37">
        <v>34</v>
      </c>
      <c r="B42" s="55">
        <f>FILIACIÓN!B40</f>
        <v>0</v>
      </c>
      <c r="C42" s="59">
        <f>'1er SEM'!Z42</f>
        <v>100</v>
      </c>
      <c r="D42" s="50">
        <f>'2DO SEM '!Z42</f>
        <v>100</v>
      </c>
      <c r="E42" s="61">
        <f t="shared" si="0"/>
        <v>100</v>
      </c>
    </row>
    <row r="43" spans="1:5" ht="14.1" customHeight="1" x14ac:dyDescent="0.25">
      <c r="A43" s="37">
        <v>35</v>
      </c>
      <c r="B43" s="55">
        <f>FILIACIÓN!B41</f>
        <v>0</v>
      </c>
      <c r="C43" s="59">
        <f>'1er SEM'!Z43</f>
        <v>100</v>
      </c>
      <c r="D43" s="50">
        <f>'2DO SEM '!Z43</f>
        <v>100</v>
      </c>
      <c r="E43" s="61">
        <f t="shared" si="0"/>
        <v>100</v>
      </c>
    </row>
  </sheetData>
  <sheetProtection algorithmName="SHA-512" hashValue="pnqfLni/Hhi6xjHXJvt0ItOzs0RuSsrAGiyt/dmr3NQgrSc+dP0DLydt6t8E+FHHWfeMgAV6Wvt/6tqkZyFsUw==" saltValue="1d+MPFsC67i1/szhyYAflQ==" spinCount="100000" sheet="1" objects="1" scenarios="1"/>
  <mergeCells count="1">
    <mergeCell ref="B2:E2"/>
  </mergeCells>
  <pageMargins left="0" right="0" top="0" bottom="0" header="0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Botón2_Haga_clic_en">
                <anchor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6</xdr:col>
                    <xdr:colOff>200025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5A7A5-06CD-46E9-B41B-BCCCD4CDE569}">
  <sheetPr codeName="Hoja16">
    <tabColor rgb="FFFFC000"/>
  </sheetPr>
  <dimension ref="E1:H60"/>
  <sheetViews>
    <sheetView zoomScale="110" zoomScaleNormal="110" workbookViewId="0">
      <selection activeCell="J21" sqref="J21"/>
    </sheetView>
  </sheetViews>
  <sheetFormatPr baseColWidth="10" defaultRowHeight="12.95" customHeight="1" x14ac:dyDescent="0.25"/>
  <cols>
    <col min="1" max="4" width="3.7109375" customWidth="1"/>
    <col min="6" max="6" width="10.5703125" customWidth="1"/>
    <col min="7" max="7" width="34" customWidth="1"/>
    <col min="8" max="8" width="14.5703125" customWidth="1"/>
  </cols>
  <sheetData>
    <row r="1" spans="5:8" ht="5.0999999999999996" customHeight="1" x14ac:dyDescent="0.25"/>
    <row r="3" spans="5:8" ht="5.0999999999999996" customHeight="1" x14ac:dyDescent="0.25"/>
    <row r="4" spans="5:8" ht="5.0999999999999996" customHeight="1" x14ac:dyDescent="0.25"/>
    <row r="8" spans="5:8" ht="5.0999999999999996" customHeight="1" x14ac:dyDescent="0.25"/>
    <row r="10" spans="5:8" ht="12.95" customHeight="1" x14ac:dyDescent="0.25">
      <c r="E10" s="92" t="s">
        <v>122</v>
      </c>
      <c r="F10" s="92"/>
      <c r="G10" s="92"/>
      <c r="H10" s="92"/>
    </row>
    <row r="12" spans="5:8" ht="12.95" customHeight="1" x14ac:dyDescent="0.25">
      <c r="E12" s="21" t="s">
        <v>37</v>
      </c>
      <c r="F12" t="str">
        <f>CARÁTULA!$F$12</f>
        <v>SAGRADA FAMILIA III</v>
      </c>
    </row>
    <row r="13" spans="5:8" ht="12.95" customHeight="1" x14ac:dyDescent="0.25">
      <c r="E13" s="49" t="s">
        <v>5</v>
      </c>
      <c r="F13" t="str">
        <f>CARÁTULA!$F$18</f>
        <v>AUXILIAR</v>
      </c>
      <c r="G13" s="65" t="s">
        <v>9</v>
      </c>
      <c r="H13" s="66">
        <f>CARÁTULA!$F$27</f>
        <v>2022</v>
      </c>
    </row>
    <row r="14" spans="5:8" ht="12.95" customHeight="1" x14ac:dyDescent="0.25">
      <c r="E14" s="49" t="s">
        <v>38</v>
      </c>
      <c r="F14" t="str">
        <f>CARÁTULA!$F$16</f>
        <v>MARÍA DE LOS JARICHIS</v>
      </c>
    </row>
    <row r="15" spans="5:8" ht="5.0999999999999996" customHeight="1" thickBot="1" x14ac:dyDescent="0.3"/>
    <row r="16" spans="5:8" ht="12.95" customHeight="1" thickTop="1" thickBot="1" x14ac:dyDescent="0.3">
      <c r="E16" s="117" t="s">
        <v>76</v>
      </c>
      <c r="F16" s="118"/>
      <c r="G16" s="64" t="s">
        <v>68</v>
      </c>
      <c r="H16" s="63" t="s">
        <v>77</v>
      </c>
    </row>
    <row r="17" spans="5:8" ht="12.95" customHeight="1" thickTop="1" x14ac:dyDescent="0.25">
      <c r="E17" s="116" t="s">
        <v>78</v>
      </c>
      <c r="F17" s="116"/>
      <c r="G17" s="67" t="str">
        <f>FILIACIÓN!B7</f>
        <v>JJJJJJJJJJJJJJJJJJJJ</v>
      </c>
      <c r="H17" s="79">
        <f>CENTRALIZ!E9</f>
        <v>100</v>
      </c>
    </row>
    <row r="18" spans="5:8" ht="12.95" customHeight="1" x14ac:dyDescent="0.25">
      <c r="E18" s="115" t="s">
        <v>79</v>
      </c>
      <c r="F18" s="115"/>
      <c r="G18" s="68" t="str">
        <f>FILIACIÓN!B8</f>
        <v>AAAAAAAAAAAAAAAAAA</v>
      </c>
      <c r="H18" s="80">
        <f>CENTRALIZ!E10</f>
        <v>100</v>
      </c>
    </row>
    <row r="19" spans="5:8" ht="12.95" customHeight="1" x14ac:dyDescent="0.25">
      <c r="E19" s="116" t="s">
        <v>80</v>
      </c>
      <c r="F19" s="116"/>
      <c r="G19" s="68" t="str">
        <f>FILIACIÓN!B9</f>
        <v>OOOOOOOOOOOOOOOOOO</v>
      </c>
      <c r="H19" s="80">
        <f>CENTRALIZ!E11</f>
        <v>100</v>
      </c>
    </row>
    <row r="20" spans="5:8" ht="12.95" customHeight="1" x14ac:dyDescent="0.25">
      <c r="E20" s="115" t="s">
        <v>81</v>
      </c>
      <c r="F20" s="115"/>
      <c r="G20" s="68">
        <f>FILIACIÓN!B10</f>
        <v>0</v>
      </c>
      <c r="H20" s="80">
        <f>CENTRALIZ!E12</f>
        <v>100</v>
      </c>
    </row>
    <row r="21" spans="5:8" ht="12.95" customHeight="1" x14ac:dyDescent="0.25">
      <c r="E21" s="116" t="s">
        <v>82</v>
      </c>
      <c r="F21" s="116"/>
      <c r="G21" s="68">
        <f>FILIACIÓN!B11</f>
        <v>0</v>
      </c>
      <c r="H21" s="80">
        <f>CENTRALIZ!E13</f>
        <v>100</v>
      </c>
    </row>
    <row r="22" spans="5:8" ht="12.95" customHeight="1" x14ac:dyDescent="0.25">
      <c r="E22" s="115" t="s">
        <v>83</v>
      </c>
      <c r="F22" s="115"/>
      <c r="G22" s="68">
        <f>FILIACIÓN!B12</f>
        <v>0</v>
      </c>
      <c r="H22" s="80">
        <f>CENTRALIZ!E14</f>
        <v>100</v>
      </c>
    </row>
    <row r="23" spans="5:8" ht="12.95" customHeight="1" x14ac:dyDescent="0.25">
      <c r="E23" s="116" t="s">
        <v>84</v>
      </c>
      <c r="F23" s="116"/>
      <c r="G23" s="68">
        <f>FILIACIÓN!B13</f>
        <v>0</v>
      </c>
      <c r="H23" s="80">
        <f>CENTRALIZ!E15</f>
        <v>100</v>
      </c>
    </row>
    <row r="24" spans="5:8" ht="12.95" customHeight="1" x14ac:dyDescent="0.25">
      <c r="E24" s="115" t="s">
        <v>85</v>
      </c>
      <c r="F24" s="115"/>
      <c r="G24" s="68">
        <f>FILIACIÓN!B15</f>
        <v>0</v>
      </c>
      <c r="H24" s="80">
        <f>CENTRALIZ!E17</f>
        <v>100</v>
      </c>
    </row>
    <row r="25" spans="5:8" ht="12.95" customHeight="1" x14ac:dyDescent="0.25">
      <c r="E25" s="116" t="s">
        <v>86</v>
      </c>
      <c r="F25" s="116"/>
      <c r="G25" s="68">
        <f>FILIACIÓN!B16</f>
        <v>0</v>
      </c>
      <c r="H25" s="80">
        <f>CENTRALIZ!E18</f>
        <v>100</v>
      </c>
    </row>
    <row r="26" spans="5:8" ht="12.95" customHeight="1" x14ac:dyDescent="0.25">
      <c r="E26" s="115" t="s">
        <v>87</v>
      </c>
      <c r="F26" s="115"/>
      <c r="G26" s="68">
        <f>FILIACIÓN!B17</f>
        <v>0</v>
      </c>
      <c r="H26" s="80">
        <f>CENTRALIZ!E19</f>
        <v>100</v>
      </c>
    </row>
    <row r="27" spans="5:8" ht="12.95" customHeight="1" x14ac:dyDescent="0.25">
      <c r="E27" s="116" t="s">
        <v>88</v>
      </c>
      <c r="F27" s="116"/>
      <c r="G27" s="68">
        <f>FILIACIÓN!B18</f>
        <v>0</v>
      </c>
      <c r="H27" s="80">
        <f>CENTRALIZ!E20</f>
        <v>100</v>
      </c>
    </row>
    <row r="28" spans="5:8" ht="12.95" customHeight="1" x14ac:dyDescent="0.25">
      <c r="E28" s="115" t="s">
        <v>89</v>
      </c>
      <c r="F28" s="115"/>
      <c r="G28" s="68">
        <f>FILIACIÓN!B19</f>
        <v>0</v>
      </c>
      <c r="H28" s="80">
        <f>CENTRALIZ!E21</f>
        <v>100</v>
      </c>
    </row>
    <row r="29" spans="5:8" ht="12.95" customHeight="1" x14ac:dyDescent="0.25">
      <c r="E29" s="116" t="s">
        <v>90</v>
      </c>
      <c r="F29" s="116"/>
      <c r="G29" s="68">
        <f>FILIACIÓN!B20</f>
        <v>0</v>
      </c>
      <c r="H29" s="80">
        <f>CENTRALIZ!E22</f>
        <v>100</v>
      </c>
    </row>
    <row r="30" spans="5:8" ht="12.95" customHeight="1" x14ac:dyDescent="0.25">
      <c r="E30" s="115" t="s">
        <v>91</v>
      </c>
      <c r="F30" s="115"/>
      <c r="G30" s="68">
        <f>FILIACIÓN!B21</f>
        <v>0</v>
      </c>
      <c r="H30" s="80">
        <f>CENTRALIZ!E23</f>
        <v>100</v>
      </c>
    </row>
    <row r="31" spans="5:8" ht="12.95" customHeight="1" x14ac:dyDescent="0.25">
      <c r="E31" s="116" t="s">
        <v>92</v>
      </c>
      <c r="F31" s="116"/>
      <c r="G31" s="68">
        <f>FILIACIÓN!B22</f>
        <v>0</v>
      </c>
      <c r="H31" s="80">
        <f>CENTRALIZ!E24</f>
        <v>100</v>
      </c>
    </row>
    <row r="32" spans="5:8" ht="12.95" customHeight="1" x14ac:dyDescent="0.25">
      <c r="E32" s="115" t="s">
        <v>93</v>
      </c>
      <c r="F32" s="115"/>
      <c r="G32" s="68">
        <f>FILIACIÓN!B23</f>
        <v>0</v>
      </c>
      <c r="H32" s="80">
        <f>CENTRALIZ!E25</f>
        <v>100</v>
      </c>
    </row>
    <row r="33" spans="5:8" ht="12.95" customHeight="1" x14ac:dyDescent="0.25">
      <c r="E33" s="116" t="s">
        <v>94</v>
      </c>
      <c r="F33" s="116"/>
      <c r="G33" s="68">
        <f>FILIACIÓN!B24</f>
        <v>0</v>
      </c>
      <c r="H33" s="80">
        <f>CENTRALIZ!E26</f>
        <v>100</v>
      </c>
    </row>
    <row r="34" spans="5:8" ht="12.95" customHeight="1" x14ac:dyDescent="0.25">
      <c r="E34" s="115" t="s">
        <v>95</v>
      </c>
      <c r="F34" s="115"/>
      <c r="G34" s="68">
        <f>FILIACIÓN!B25</f>
        <v>0</v>
      </c>
      <c r="H34" s="80">
        <f>CENTRALIZ!E27</f>
        <v>100</v>
      </c>
    </row>
    <row r="35" spans="5:8" ht="12.95" customHeight="1" x14ac:dyDescent="0.25">
      <c r="E35" s="116" t="s">
        <v>96</v>
      </c>
      <c r="F35" s="116"/>
      <c r="G35" s="68">
        <f>FILIACIÓN!B26</f>
        <v>0</v>
      </c>
      <c r="H35" s="80">
        <f>CENTRALIZ!E28</f>
        <v>100</v>
      </c>
    </row>
    <row r="36" spans="5:8" ht="12.95" customHeight="1" x14ac:dyDescent="0.25">
      <c r="E36" s="115" t="s">
        <v>97</v>
      </c>
      <c r="F36" s="115"/>
      <c r="G36" s="68">
        <f>FILIACIÓN!B28</f>
        <v>0</v>
      </c>
      <c r="H36" s="80">
        <f>CENTRALIZ!E30</f>
        <v>100</v>
      </c>
    </row>
    <row r="37" spans="5:8" ht="12.95" customHeight="1" x14ac:dyDescent="0.25">
      <c r="E37" s="116" t="s">
        <v>98</v>
      </c>
      <c r="F37" s="116"/>
      <c r="G37" s="68">
        <f>FILIACIÓN!B29</f>
        <v>0</v>
      </c>
      <c r="H37" s="80">
        <f>CENTRALIZ!E31</f>
        <v>100</v>
      </c>
    </row>
    <row r="38" spans="5:8" ht="12.95" customHeight="1" x14ac:dyDescent="0.25">
      <c r="E38" s="115" t="s">
        <v>99</v>
      </c>
      <c r="F38" s="115"/>
      <c r="G38" s="68">
        <f>FILIACIÓN!B30</f>
        <v>0</v>
      </c>
      <c r="H38" s="80">
        <f>CENTRALIZ!E32</f>
        <v>100</v>
      </c>
    </row>
    <row r="39" spans="5:8" ht="12.95" customHeight="1" x14ac:dyDescent="0.25">
      <c r="E39" s="116" t="s">
        <v>100</v>
      </c>
      <c r="F39" s="116"/>
      <c r="G39" s="68">
        <f>FILIACIÓN!B31</f>
        <v>0</v>
      </c>
      <c r="H39" s="80">
        <f>CENTRALIZ!E33</f>
        <v>100</v>
      </c>
    </row>
    <row r="40" spans="5:8" ht="12.95" customHeight="1" x14ac:dyDescent="0.25">
      <c r="E40" s="115" t="s">
        <v>101</v>
      </c>
      <c r="F40" s="115"/>
      <c r="G40" s="68">
        <f>FILIACIÓN!B32</f>
        <v>0</v>
      </c>
      <c r="H40" s="80">
        <f>CENTRALIZ!E34</f>
        <v>100</v>
      </c>
    </row>
    <row r="41" spans="5:8" ht="12.95" customHeight="1" x14ac:dyDescent="0.25">
      <c r="E41" s="116" t="s">
        <v>102</v>
      </c>
      <c r="F41" s="116"/>
      <c r="G41" s="68">
        <f>FILIACIÓN!B33</f>
        <v>0</v>
      </c>
      <c r="H41" s="80">
        <f>CENTRALIZ!E35</f>
        <v>100</v>
      </c>
    </row>
    <row r="42" spans="5:8" ht="12.95" customHeight="1" x14ac:dyDescent="0.25">
      <c r="E42" s="115" t="s">
        <v>103</v>
      </c>
      <c r="F42" s="115"/>
      <c r="G42" s="68">
        <f>FILIACIÓN!B34</f>
        <v>0</v>
      </c>
      <c r="H42" s="80">
        <f>CENTRALIZ!E36</f>
        <v>100</v>
      </c>
    </row>
    <row r="43" spans="5:8" ht="12.95" customHeight="1" x14ac:dyDescent="0.25">
      <c r="E43" s="116" t="s">
        <v>104</v>
      </c>
      <c r="F43" s="116"/>
      <c r="G43" s="68">
        <f>FILIACIÓN!B35</f>
        <v>0</v>
      </c>
      <c r="H43" s="80">
        <f>CENTRALIZ!E37</f>
        <v>100</v>
      </c>
    </row>
    <row r="44" spans="5:8" ht="12.95" customHeight="1" x14ac:dyDescent="0.25">
      <c r="E44" s="115" t="s">
        <v>105</v>
      </c>
      <c r="F44" s="115"/>
      <c r="G44" s="68">
        <f>FILIACIÓN!B36</f>
        <v>0</v>
      </c>
      <c r="H44" s="80">
        <f>CENTRALIZ!E38</f>
        <v>100</v>
      </c>
    </row>
    <row r="45" spans="5:8" ht="12.95" customHeight="1" x14ac:dyDescent="0.25">
      <c r="E45" s="116" t="s">
        <v>106</v>
      </c>
      <c r="F45" s="116"/>
      <c r="G45" s="68">
        <f>FILIACIÓN!B37</f>
        <v>0</v>
      </c>
      <c r="H45" s="80">
        <f>CENTRALIZ!E39</f>
        <v>100</v>
      </c>
    </row>
    <row r="46" spans="5:8" ht="12.95" customHeight="1" x14ac:dyDescent="0.25">
      <c r="E46" s="115" t="s">
        <v>107</v>
      </c>
      <c r="F46" s="115"/>
      <c r="G46" s="68">
        <f>FILIACIÓN!B38</f>
        <v>0</v>
      </c>
      <c r="H46" s="80">
        <f>CENTRALIZ!E40</f>
        <v>100</v>
      </c>
    </row>
    <row r="47" spans="5:8" ht="12.95" customHeight="1" x14ac:dyDescent="0.25">
      <c r="E47" s="116" t="s">
        <v>108</v>
      </c>
      <c r="F47" s="116"/>
      <c r="G47" s="68">
        <f>FILIACIÓN!B39</f>
        <v>0</v>
      </c>
      <c r="H47" s="80">
        <f>CENTRALIZ!E41</f>
        <v>100</v>
      </c>
    </row>
    <row r="48" spans="5:8" ht="12.95" customHeight="1" x14ac:dyDescent="0.25">
      <c r="E48" s="115" t="s">
        <v>109</v>
      </c>
      <c r="F48" s="115"/>
      <c r="G48" s="68">
        <f>FILIACIÓN!B40</f>
        <v>0</v>
      </c>
      <c r="H48" s="80">
        <f>CENTRALIZ!E42</f>
        <v>100</v>
      </c>
    </row>
    <row r="49" spans="5:8" ht="12.95" customHeight="1" x14ac:dyDescent="0.25">
      <c r="E49" s="116" t="s">
        <v>110</v>
      </c>
      <c r="F49" s="116"/>
      <c r="G49" s="68">
        <f>FILIACIÓN!B41</f>
        <v>0</v>
      </c>
      <c r="H49" s="80">
        <f>CENTRALIZ!E43</f>
        <v>100</v>
      </c>
    </row>
    <row r="50" spans="5:8" ht="12.95" customHeight="1" x14ac:dyDescent="0.25">
      <c r="E50" s="115" t="s">
        <v>111</v>
      </c>
      <c r="F50" s="115"/>
      <c r="G50" s="68">
        <f>FILIACIÓN!B14</f>
        <v>0</v>
      </c>
      <c r="H50" s="80">
        <f>CENTRALIZ!E16</f>
        <v>97.5</v>
      </c>
    </row>
    <row r="51" spans="5:8" ht="12.95" customHeight="1" x14ac:dyDescent="0.25">
      <c r="E51" s="116" t="s">
        <v>112</v>
      </c>
      <c r="F51" s="116"/>
      <c r="G51" s="68">
        <f>FILIACIÓN!B27</f>
        <v>0</v>
      </c>
      <c r="H51" s="80">
        <f>CENTRALIZ!E29</f>
        <v>90</v>
      </c>
    </row>
    <row r="52" spans="5:8" ht="12.95" customHeight="1" x14ac:dyDescent="0.25">
      <c r="E52" s="115" t="s">
        <v>113</v>
      </c>
      <c r="F52" s="115"/>
      <c r="G52" s="62"/>
      <c r="H52" s="81"/>
    </row>
    <row r="53" spans="5:8" ht="12.95" customHeight="1" x14ac:dyDescent="0.25">
      <c r="E53" s="116" t="s">
        <v>114</v>
      </c>
      <c r="F53" s="116"/>
      <c r="G53" s="62"/>
      <c r="H53" s="81"/>
    </row>
    <row r="54" spans="5:8" ht="12.95" customHeight="1" x14ac:dyDescent="0.25">
      <c r="E54" s="115" t="s">
        <v>115</v>
      </c>
      <c r="F54" s="115"/>
      <c r="G54" s="62"/>
      <c r="H54" s="81"/>
    </row>
    <row r="55" spans="5:8" ht="12.95" customHeight="1" x14ac:dyDescent="0.25">
      <c r="E55" s="116" t="s">
        <v>116</v>
      </c>
      <c r="F55" s="116"/>
      <c r="G55" s="62"/>
      <c r="H55" s="81"/>
    </row>
    <row r="56" spans="5:8" ht="12.95" customHeight="1" x14ac:dyDescent="0.25">
      <c r="E56" s="115" t="s">
        <v>117</v>
      </c>
      <c r="F56" s="115"/>
      <c r="G56" s="62"/>
      <c r="H56" s="81"/>
    </row>
    <row r="57" spans="5:8" ht="12.95" customHeight="1" x14ac:dyDescent="0.25">
      <c r="E57" s="116" t="s">
        <v>118</v>
      </c>
      <c r="F57" s="116"/>
      <c r="G57" s="62"/>
      <c r="H57" s="81"/>
    </row>
    <row r="58" spans="5:8" ht="12.95" customHeight="1" x14ac:dyDescent="0.25">
      <c r="E58" s="115" t="s">
        <v>119</v>
      </c>
      <c r="F58" s="115"/>
      <c r="G58" s="62"/>
      <c r="H58" s="81"/>
    </row>
    <row r="59" spans="5:8" ht="12.95" customHeight="1" x14ac:dyDescent="0.25">
      <c r="E59" s="116" t="s">
        <v>120</v>
      </c>
      <c r="F59" s="116"/>
      <c r="G59" s="62"/>
      <c r="H59" s="81"/>
    </row>
    <row r="60" spans="5:8" ht="12.95" customHeight="1" x14ac:dyDescent="0.25">
      <c r="E60" s="115" t="s">
        <v>121</v>
      </c>
      <c r="F60" s="115"/>
      <c r="G60" s="62"/>
      <c r="H60" s="81"/>
    </row>
  </sheetData>
  <sheetProtection algorithmName="SHA-512" hashValue="ngxtY8AwG0m6Ey50p9XVtANbfD3GYuHqex3w/BY4+jkQrHCd1UqbyafotS+2A52pgw9vqyHXwg2SPeyy2JJm/A==" saltValue="iyaDRtPCcZXVCyKUSADuxA==" spinCount="100000" sheet="1" objects="1" scenarios="1"/>
  <autoFilter ref="G16:H16" xr:uid="{275B357C-EDB4-412A-A4A1-FF7894B9735C}">
    <sortState xmlns:xlrd2="http://schemas.microsoft.com/office/spreadsheetml/2017/richdata2" ref="G17:H60">
      <sortCondition descending="1" ref="H16:H61"/>
    </sortState>
  </autoFilter>
  <mergeCells count="46">
    <mergeCell ref="E21:F21"/>
    <mergeCell ref="E16:F16"/>
    <mergeCell ref="E17:F17"/>
    <mergeCell ref="E18:F18"/>
    <mergeCell ref="E19:F19"/>
    <mergeCell ref="E20:F20"/>
    <mergeCell ref="E33:F33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31:F31"/>
    <mergeCell ref="E32:F32"/>
    <mergeCell ref="E45:F45"/>
    <mergeCell ref="E34:F34"/>
    <mergeCell ref="E35:F35"/>
    <mergeCell ref="E36:F36"/>
    <mergeCell ref="E37:F37"/>
    <mergeCell ref="E38:F38"/>
    <mergeCell ref="E39:F39"/>
    <mergeCell ref="E40:F40"/>
    <mergeCell ref="E41:F41"/>
    <mergeCell ref="E42:F42"/>
    <mergeCell ref="E43:F43"/>
    <mergeCell ref="E44:F44"/>
    <mergeCell ref="E58:F58"/>
    <mergeCell ref="E59:F59"/>
    <mergeCell ref="E60:F60"/>
    <mergeCell ref="E10:H10"/>
    <mergeCell ref="E52:F52"/>
    <mergeCell ref="E53:F53"/>
    <mergeCell ref="E54:F54"/>
    <mergeCell ref="E55:F55"/>
    <mergeCell ref="E56:F56"/>
    <mergeCell ref="E57:F57"/>
    <mergeCell ref="E46:F46"/>
    <mergeCell ref="E47:F47"/>
    <mergeCell ref="E48:F48"/>
    <mergeCell ref="E49:F49"/>
    <mergeCell ref="E50:F50"/>
    <mergeCell ref="E51:F51"/>
  </mergeCells>
  <phoneticPr fontId="14" type="noConversion"/>
  <pageMargins left="0" right="0" top="0" bottom="0" header="0" footer="0.31496062992125984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otón2_Haga_clic_en">
                <anchor>
                  <from>
                    <xdr:col>7</xdr:col>
                    <xdr:colOff>962025</xdr:colOff>
                    <xdr:row>11</xdr:row>
                    <xdr:rowOff>114300</xdr:rowOff>
                  </from>
                  <to>
                    <xdr:col>9</xdr:col>
                    <xdr:colOff>180975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CARÁTULA</vt:lpstr>
      <vt:lpstr>FILIACIÓN</vt:lpstr>
      <vt:lpstr>ASIST FEB</vt:lpstr>
      <vt:lpstr>ASIST MAR</vt:lpstr>
      <vt:lpstr>ASIST ABR</vt:lpstr>
      <vt:lpstr>ASIST MAY</vt:lpstr>
      <vt:lpstr>ASIST JUN</vt:lpstr>
      <vt:lpstr>1er SEM</vt:lpstr>
      <vt:lpstr>ASIST JUL </vt:lpstr>
      <vt:lpstr>ASIST AGO</vt:lpstr>
      <vt:lpstr>ASIST SEPT</vt:lpstr>
      <vt:lpstr>ASIST OCT</vt:lpstr>
      <vt:lpstr>ASIST NOV</vt:lpstr>
      <vt:lpstr>2DO SEM </vt:lpstr>
      <vt:lpstr>CENTRALIZ</vt:lpstr>
      <vt:lpstr>EST_DEST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AQUIN</dc:creator>
  <cp:lastModifiedBy>JORGE AQUIN</cp:lastModifiedBy>
  <cp:lastPrinted>2022-01-14T15:12:03Z</cp:lastPrinted>
  <dcterms:created xsi:type="dcterms:W3CDTF">2022-01-13T15:18:29Z</dcterms:created>
  <dcterms:modified xsi:type="dcterms:W3CDTF">2022-01-14T17:23:06Z</dcterms:modified>
</cp:coreProperties>
</file>